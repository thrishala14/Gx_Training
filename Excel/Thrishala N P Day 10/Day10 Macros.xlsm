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gxportal-my.sharepoint.com/personal/tpalangappa_galaxe_com/Documents/Documents/Excel/"/>
    </mc:Choice>
  </mc:AlternateContent>
  <xr:revisionPtr revIDLastSave="143" documentId="8_{AD62EFD1-E063-46C2-80D0-643FF7DF3937}" xr6:coauthVersionLast="47" xr6:coauthVersionMax="47" xr10:uidLastSave="{0270754D-CBE1-4F18-9877-23E0907968D2}"/>
  <bookViews>
    <workbookView xWindow="-110" yWindow="-110" windowWidth="19420" windowHeight="10300" xr2:uid="{00000000-000D-0000-FFFF-FFFF00000000}"/>
  </bookViews>
  <sheets>
    <sheet name="Macro " sheetId="1" r:id="rId1"/>
    <sheet name="Absolute and Relative Referenc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3" i="1" l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2" i="1"/>
</calcChain>
</file>

<file path=xl/sharedStrings.xml><?xml version="1.0" encoding="utf-8"?>
<sst xmlns="http://schemas.openxmlformats.org/spreadsheetml/2006/main" count="1960" uniqueCount="619">
  <si>
    <t>Order ID</t>
  </si>
  <si>
    <t>Order Date</t>
  </si>
  <si>
    <t>Ship Date</t>
  </si>
  <si>
    <t>Ship Mode</t>
  </si>
  <si>
    <t>Customer ID</t>
  </si>
  <si>
    <t>Customer Name</t>
  </si>
  <si>
    <t>Segment</t>
  </si>
  <si>
    <t>Country</t>
  </si>
  <si>
    <t>City</t>
  </si>
  <si>
    <t>State</t>
  </si>
  <si>
    <t>Postal Code</t>
  </si>
  <si>
    <t>Region</t>
  </si>
  <si>
    <t>Product ID</t>
  </si>
  <si>
    <t>Category</t>
  </si>
  <si>
    <t>Sub-Category</t>
  </si>
  <si>
    <t>Product Name</t>
  </si>
  <si>
    <t>Sales</t>
  </si>
  <si>
    <t>Quantity</t>
  </si>
  <si>
    <t>Discount</t>
  </si>
  <si>
    <t>Profit</t>
  </si>
  <si>
    <t>CA-2016-152156</t>
  </si>
  <si>
    <t>Second Class</t>
  </si>
  <si>
    <t>CG-12520</t>
  </si>
  <si>
    <t>Claire Gute</t>
  </si>
  <si>
    <t>Consumer</t>
  </si>
  <si>
    <t>United States</t>
  </si>
  <si>
    <t>Henderson</t>
  </si>
  <si>
    <t>Kentucky</t>
  </si>
  <si>
    <t>South</t>
  </si>
  <si>
    <t>FUR-BO-10001798</t>
  </si>
  <si>
    <t>Furniture</t>
  </si>
  <si>
    <t>Bookcases</t>
  </si>
  <si>
    <t>Bush Somerset Collection Bookcase</t>
  </si>
  <si>
    <t>FUR-CH-10000454</t>
  </si>
  <si>
    <t>Chairs</t>
  </si>
  <si>
    <t>Hon Deluxe Fabric Upholstered Stacking Chairs, Rounded Back</t>
  </si>
  <si>
    <t>CA-2016-138688</t>
  </si>
  <si>
    <t>DV-13045</t>
  </si>
  <si>
    <t>Darrin Van Huff</t>
  </si>
  <si>
    <t>Corporate</t>
  </si>
  <si>
    <t>Los Angeles</t>
  </si>
  <si>
    <t>California</t>
  </si>
  <si>
    <t>West</t>
  </si>
  <si>
    <t>OFF-LA-10000240</t>
  </si>
  <si>
    <t>Office Supplies</t>
  </si>
  <si>
    <t>Labels</t>
  </si>
  <si>
    <t>Self-Adhesive Address Labels for Typewriters by Universal</t>
  </si>
  <si>
    <t>US-2015-108966</t>
  </si>
  <si>
    <t>Standard Class</t>
  </si>
  <si>
    <t>SO-20335</t>
  </si>
  <si>
    <t>Sean O'Donnell</t>
  </si>
  <si>
    <t>Fort Lauderdale</t>
  </si>
  <si>
    <t>Florida</t>
  </si>
  <si>
    <t>FUR-TA-10000577</t>
  </si>
  <si>
    <t>Tables</t>
  </si>
  <si>
    <t>Bretford CR4500 Series Slim Rectangular Table</t>
  </si>
  <si>
    <t>OFF-ST-10000760</t>
  </si>
  <si>
    <t>Storage</t>
  </si>
  <si>
    <t>Eldon Fold 'N Roll Cart System</t>
  </si>
  <si>
    <t>CA-2014-115812</t>
  </si>
  <si>
    <t>BH-11710</t>
  </si>
  <si>
    <t>Brosina Hoffman</t>
  </si>
  <si>
    <t>FUR-FU-10001487</t>
  </si>
  <si>
    <t>Furnishings</t>
  </si>
  <si>
    <t>Eldon Expressions Wood and Plastic Desk Accessories, Cherry Wood</t>
  </si>
  <si>
    <t>OFF-AR-10002833</t>
  </si>
  <si>
    <t>Art</t>
  </si>
  <si>
    <t>Newell 322</t>
  </si>
  <si>
    <t>TEC-PH-10002275</t>
  </si>
  <si>
    <t>Technology</t>
  </si>
  <si>
    <t>Phones</t>
  </si>
  <si>
    <t>Mitel 5320 IP Phone VoIP phone</t>
  </si>
  <si>
    <t>OFF-BI-10003910</t>
  </si>
  <si>
    <t>Binders</t>
  </si>
  <si>
    <t>DXL Angle-View Binders with Locking Rings by Samsill</t>
  </si>
  <si>
    <t>OFF-AP-10002892</t>
  </si>
  <si>
    <t>Appliances</t>
  </si>
  <si>
    <t>Belkin F5C206VTEL 6 Outlet Surge</t>
  </si>
  <si>
    <t>FUR-TA-10001539</t>
  </si>
  <si>
    <t>Chromcraft Rectangular Conference Tables</t>
  </si>
  <si>
    <t>TEC-PH-10002033</t>
  </si>
  <si>
    <t>Konftel 250 Conference phone - Charcoal black</t>
  </si>
  <si>
    <t>CA-2017-114412</t>
  </si>
  <si>
    <t>AA-10480</t>
  </si>
  <si>
    <t>Andrew Allen</t>
  </si>
  <si>
    <t>Concord</t>
  </si>
  <si>
    <t>North Carolina</t>
  </si>
  <si>
    <t>OFF-PA-10002365</t>
  </si>
  <si>
    <t>Paper</t>
  </si>
  <si>
    <t>Xerox 1967</t>
  </si>
  <si>
    <t>CA-2016-161389</t>
  </si>
  <si>
    <t>IM-15070</t>
  </si>
  <si>
    <t>Irene Maddox</t>
  </si>
  <si>
    <t>Seattle</t>
  </si>
  <si>
    <t>Washington</t>
  </si>
  <si>
    <t>OFF-BI-10003656</t>
  </si>
  <si>
    <t>Fellowes PB200 Plastic Comb Binding Machine</t>
  </si>
  <si>
    <t>US-2015-118983</t>
  </si>
  <si>
    <t>HP-14815</t>
  </si>
  <si>
    <t>Harold Pawlan</t>
  </si>
  <si>
    <t>Home Office</t>
  </si>
  <si>
    <t>Fort Worth</t>
  </si>
  <si>
    <t>Texas</t>
  </si>
  <si>
    <t>Central</t>
  </si>
  <si>
    <t>OFF-AP-10002311</t>
  </si>
  <si>
    <t>Holmes Replacement Filter for HEPA Air Cleaner, Very Large Room, HEPA Filter</t>
  </si>
  <si>
    <t>OFF-BI-10000756</t>
  </si>
  <si>
    <t>Storex DuraTech Recycled Plastic Frosted Binders</t>
  </si>
  <si>
    <t>CA-2014-105893</t>
  </si>
  <si>
    <t>PK-19075</t>
  </si>
  <si>
    <t>Pete Kriz</t>
  </si>
  <si>
    <t>Madison</t>
  </si>
  <si>
    <t>Wisconsin</t>
  </si>
  <si>
    <t>OFF-ST-10004186</t>
  </si>
  <si>
    <t>Stur-D-Stor Shelving, Vertical 5-Shelf: 72"H x 36"W x 18 1/2"D</t>
  </si>
  <si>
    <t>CA-2014-167164</t>
  </si>
  <si>
    <t>AG-10270</t>
  </si>
  <si>
    <t>Alejandro Grove</t>
  </si>
  <si>
    <t>West Jordan</t>
  </si>
  <si>
    <t>Utah</t>
  </si>
  <si>
    <t>OFF-ST-10000107</t>
  </si>
  <si>
    <t>Fellowes Super Stor/Drawer</t>
  </si>
  <si>
    <t>CA-2014-143336</t>
  </si>
  <si>
    <t>ZD-21925</t>
  </si>
  <si>
    <t>Zuschuss Donatelli</t>
  </si>
  <si>
    <t>San Francisco</t>
  </si>
  <si>
    <t>OFF-AR-10003056</t>
  </si>
  <si>
    <t>Newell 341</t>
  </si>
  <si>
    <t>TEC-PH-10001949</t>
  </si>
  <si>
    <t>Cisco SPA 501G IP Phone</t>
  </si>
  <si>
    <t>OFF-BI-10002215</t>
  </si>
  <si>
    <t>Wilson Jones Hanging View Binder, White, 1"</t>
  </si>
  <si>
    <t>CA-2016-137330</t>
  </si>
  <si>
    <t>KB-16585</t>
  </si>
  <si>
    <t>Ken Black</t>
  </si>
  <si>
    <t>Fremont</t>
  </si>
  <si>
    <t>Nebraska</t>
  </si>
  <si>
    <t>OFF-AR-10000246</t>
  </si>
  <si>
    <t>Newell 318</t>
  </si>
  <si>
    <t>OFF-AP-10001492</t>
  </si>
  <si>
    <t>Acco Six-Outlet Power Strip, 4' Cord Length</t>
  </si>
  <si>
    <t>US-2017-156909</t>
  </si>
  <si>
    <t>SF-20065</t>
  </si>
  <si>
    <t>Sandra Flanagan</t>
  </si>
  <si>
    <t>Philadelphia</t>
  </si>
  <si>
    <t>Pennsylvania</t>
  </si>
  <si>
    <t>East</t>
  </si>
  <si>
    <t>FUR-CH-10002774</t>
  </si>
  <si>
    <t>Global Deluxe Stacking Chair, Gray</t>
  </si>
  <si>
    <t>CA-2015-106320</t>
  </si>
  <si>
    <t>EB-13870</t>
  </si>
  <si>
    <t>Emily Burns</t>
  </si>
  <si>
    <t>Orem</t>
  </si>
  <si>
    <t>CA-2016-121755</t>
  </si>
  <si>
    <t>EH-13945</t>
  </si>
  <si>
    <t>Eric Hoffmann</t>
  </si>
  <si>
    <t>OFF-BI-10001634</t>
  </si>
  <si>
    <t>Wilson Jones Active Use Binders</t>
  </si>
  <si>
    <t>TEC-AC-10003027</t>
  </si>
  <si>
    <t>Accessories</t>
  </si>
  <si>
    <t>Imation 8GB Mini TravelDrive USB 2.0 Flash Drive</t>
  </si>
  <si>
    <t>US-2015-150630</t>
  </si>
  <si>
    <t>TB-21520</t>
  </si>
  <si>
    <t>Tracy Blumstein</t>
  </si>
  <si>
    <t>FUR-BO-10004834</t>
  </si>
  <si>
    <t>Riverside Palais Royal Lawyers Bookcase, Royale Cherry Finish</t>
  </si>
  <si>
    <t>OFF-BI-10000474</t>
  </si>
  <si>
    <t>Avery Recycled Flexi-View Covers for Binding Systems</t>
  </si>
  <si>
    <t>FUR-FU-10004848</t>
  </si>
  <si>
    <t>Howard Miller 13-3/4" Diameter Brushed Chrome Round Wall Clock</t>
  </si>
  <si>
    <t>OFF-EN-10001509</t>
  </si>
  <si>
    <t>Envelopes</t>
  </si>
  <si>
    <t>Poly String Tie Envelopes</t>
  </si>
  <si>
    <t>OFF-AR-10004042</t>
  </si>
  <si>
    <t>BOSTON Model 1800 Electric Pencil Sharpeners, Putty/Woodgrain</t>
  </si>
  <si>
    <t>OFF-BI-10001525</t>
  </si>
  <si>
    <t>Acco Pressboard Covers with Storage Hooks, 14 7/8" x 11", Executive Red</t>
  </si>
  <si>
    <t>OFF-AR-10001683</t>
  </si>
  <si>
    <t>Lumber Crayons</t>
  </si>
  <si>
    <t>CA-2017-107727</t>
  </si>
  <si>
    <t>MA-17560</t>
  </si>
  <si>
    <t>Matt Abelman</t>
  </si>
  <si>
    <t>Houston</t>
  </si>
  <si>
    <t>OFF-PA-10000249</t>
  </si>
  <si>
    <t>Easy-staple paper</t>
  </si>
  <si>
    <t>CA-2016-117590</t>
  </si>
  <si>
    <t>First Class</t>
  </si>
  <si>
    <t>GH-14485</t>
  </si>
  <si>
    <t>Gene Hale</t>
  </si>
  <si>
    <t>Richardson</t>
  </si>
  <si>
    <t>TEC-PH-10004977</t>
  </si>
  <si>
    <t>GE 30524EE4</t>
  </si>
  <si>
    <t>FUR-FU-10003664</t>
  </si>
  <si>
    <t>Electrix Architect's Clamp-On Swing Arm Lamp, Black</t>
  </si>
  <si>
    <t>CA-2015-117415</t>
  </si>
  <si>
    <t>SN-20710</t>
  </si>
  <si>
    <t>Steve Nguyen</t>
  </si>
  <si>
    <t>OFF-EN-10002986</t>
  </si>
  <si>
    <t>#10-4 1/8" x 9 1/2" Premium Diagonal Seam Envelopes</t>
  </si>
  <si>
    <t>FUR-BO-10002545</t>
  </si>
  <si>
    <t>Atlantic Metals Mobile 3-Shelf Bookcases, Custom Colors</t>
  </si>
  <si>
    <t>FUR-CH-10004218</t>
  </si>
  <si>
    <t>Global Fabric Manager's Chair, Dark Gray</t>
  </si>
  <si>
    <t>TEC-PH-10000486</t>
  </si>
  <si>
    <t>Plantronics HL10 Handset Lifter</t>
  </si>
  <si>
    <t>CA-2017-120999</t>
  </si>
  <si>
    <t>LC-16930</t>
  </si>
  <si>
    <t>Linda Cazamias</t>
  </si>
  <si>
    <t>Naperville</t>
  </si>
  <si>
    <t>Illinois</t>
  </si>
  <si>
    <t>TEC-PH-10004093</t>
  </si>
  <si>
    <t>Panasonic Kx-TS550</t>
  </si>
  <si>
    <t>CA-2016-101343</t>
  </si>
  <si>
    <t>RA-19885</t>
  </si>
  <si>
    <t>Ruben Ausman</t>
  </si>
  <si>
    <t>OFF-ST-10003479</t>
  </si>
  <si>
    <t>Eldon Base for stackable storage shelf, platinum</t>
  </si>
  <si>
    <t>CA-2017-139619</t>
  </si>
  <si>
    <t>ES-14080</t>
  </si>
  <si>
    <t>Erin Smith</t>
  </si>
  <si>
    <t>Melbourne</t>
  </si>
  <si>
    <t>OFF-ST-10003282</t>
  </si>
  <si>
    <t>Advantus 10-Drawer Portable Organizer, Chrome Metal Frame, Smoke Drawers</t>
  </si>
  <si>
    <t>CA-2016-118255</t>
  </si>
  <si>
    <t>ON-18715</t>
  </si>
  <si>
    <t>Odella Nelson</t>
  </si>
  <si>
    <t>Eagan</t>
  </si>
  <si>
    <t>Minnesota</t>
  </si>
  <si>
    <t>TEC-AC-10000171</t>
  </si>
  <si>
    <t>Verbatim 25 GB 6x Blu-ray Single Layer Recordable Disc, 25/Pack</t>
  </si>
  <si>
    <t>OFF-BI-10003291</t>
  </si>
  <si>
    <t>Wilson Jones Leather-Like Binders with DublLock Round Rings</t>
  </si>
  <si>
    <t>CA-2014-146703</t>
  </si>
  <si>
    <t>PO-18865</t>
  </si>
  <si>
    <t>Patrick O'Donnell</t>
  </si>
  <si>
    <t>Westland</t>
  </si>
  <si>
    <t>Michigan</t>
  </si>
  <si>
    <t>OFF-ST-10001713</t>
  </si>
  <si>
    <t>Gould Plastics 9-Pocket Panel Bin, 18-3/8w x 5-1/4d x 20-1/2h, Black</t>
  </si>
  <si>
    <t>CA-2016-169194</t>
  </si>
  <si>
    <t>LH-16900</t>
  </si>
  <si>
    <t>Lena Hernandez</t>
  </si>
  <si>
    <t>Dover</t>
  </si>
  <si>
    <t>Delaware</t>
  </si>
  <si>
    <t>TEC-AC-10002167</t>
  </si>
  <si>
    <t>Imation 8gb Micro Traveldrive Usb 2.0 Flash Drive</t>
  </si>
  <si>
    <t>TEC-PH-10003988</t>
  </si>
  <si>
    <t>LF Elite 3D Dazzle Designer Hard Case Cover, Lf Stylus Pen and Wiper For Apple Iphone 5c Mini Lite</t>
  </si>
  <si>
    <t>CA-2015-115742</t>
  </si>
  <si>
    <t>DP-13000</t>
  </si>
  <si>
    <t>Darren Powers</t>
  </si>
  <si>
    <t>New Albany</t>
  </si>
  <si>
    <t>Indiana</t>
  </si>
  <si>
    <t>OFF-BI-10004410</t>
  </si>
  <si>
    <t>C-Line Peel &amp; Stick Add-On Filing Pockets, 8-3/4 x 5-1/8, 10/Pack</t>
  </si>
  <si>
    <t>OFF-LA-10002762</t>
  </si>
  <si>
    <t>Avery 485</t>
  </si>
  <si>
    <t>FUR-FU-10001706</t>
  </si>
  <si>
    <t>Longer-Life Soft White Bulbs</t>
  </si>
  <si>
    <t>FUR-CH-10003061</t>
  </si>
  <si>
    <t>Global Leather Task Chair, Black</t>
  </si>
  <si>
    <t>CA-2016-105816</t>
  </si>
  <si>
    <t>JM-15265</t>
  </si>
  <si>
    <t>Janet Molinari</t>
  </si>
  <si>
    <t>New York City</t>
  </si>
  <si>
    <t>New York</t>
  </si>
  <si>
    <t>OFF-FA-10000304</t>
  </si>
  <si>
    <t>Fasteners</t>
  </si>
  <si>
    <t>Advantus Push Pins</t>
  </si>
  <si>
    <t>TEC-PH-10002447</t>
  </si>
  <si>
    <t>AT&amp;T CL83451 4-Handset Telephone</t>
  </si>
  <si>
    <t>CA-2016-111682</t>
  </si>
  <si>
    <t>TB-21055</t>
  </si>
  <si>
    <t>Ted Butterfield</t>
  </si>
  <si>
    <t>Troy</t>
  </si>
  <si>
    <t>OFF-ST-10000604</t>
  </si>
  <si>
    <t>Home/Office Personal File Carts</t>
  </si>
  <si>
    <t>OFF-PA-10001569</t>
  </si>
  <si>
    <t>Xerox 232</t>
  </si>
  <si>
    <t>FUR-CH-10003968</t>
  </si>
  <si>
    <t>Novimex Turbo Task Chair</t>
  </si>
  <si>
    <t>OFF-PA-10000587</t>
  </si>
  <si>
    <t>Array Parchment Paper, Assorted Colors</t>
  </si>
  <si>
    <t>OFF-BI-10001460</t>
  </si>
  <si>
    <t>Plastic Binding Combs</t>
  </si>
  <si>
    <t>OFF-AR-10001868</t>
  </si>
  <si>
    <t>Prang Dustless Chalk Sticks</t>
  </si>
  <si>
    <t>CA-2015-135545</t>
  </si>
  <si>
    <t>KM-16720</t>
  </si>
  <si>
    <t>Kunst Miller</t>
  </si>
  <si>
    <t>TEC-AC-10004633</t>
  </si>
  <si>
    <t>Verbatim 25 GB 6x Blu-ray Single Layer Recordable Disc, 3/Pack</t>
  </si>
  <si>
    <t>OFF-BI-10001078</t>
  </si>
  <si>
    <t>Acco PRESSTEX Data Binder with Storage Hooks, Dark Blue, 14 7/8" X 11"</t>
  </si>
  <si>
    <t>OFF-PA-10003892</t>
  </si>
  <si>
    <t>Xerox 1943</t>
  </si>
  <si>
    <t>FUR-FU-10000397</t>
  </si>
  <si>
    <t>Luxo Economy Swing Arm Lamp</t>
  </si>
  <si>
    <t>US-2015-164175</t>
  </si>
  <si>
    <t>PS-18970</t>
  </si>
  <si>
    <t>Paul Stevenson</t>
  </si>
  <si>
    <t>Chicago</t>
  </si>
  <si>
    <t>FUR-CH-10001146</t>
  </si>
  <si>
    <t>Global Value Mid-Back Manager's Chair, Gray</t>
  </si>
  <si>
    <t>CA-2014-106376</t>
  </si>
  <si>
    <t>BS-11590</t>
  </si>
  <si>
    <t>Brendan Sweed</t>
  </si>
  <si>
    <t>Gilbert</t>
  </si>
  <si>
    <t>Arizona</t>
  </si>
  <si>
    <t>OFF-AR-10002671</t>
  </si>
  <si>
    <t>Hunt BOSTON Model 1606 High-Volume Electric Pencil Sharpener, Beige</t>
  </si>
  <si>
    <t>TEC-PH-10002726</t>
  </si>
  <si>
    <t>netTALK DUO VoIP Telephone Service</t>
  </si>
  <si>
    <t>CA-2016-119823</t>
  </si>
  <si>
    <t>KD-16270</t>
  </si>
  <si>
    <t>Karen Daniels</t>
  </si>
  <si>
    <t>Springfield</t>
  </si>
  <si>
    <t>Virginia</t>
  </si>
  <si>
    <t>OFF-PA-10000482</t>
  </si>
  <si>
    <t>Snap-A-Way Black Print Carbonless Ruled Speed Letter, Triplicate</t>
  </si>
  <si>
    <t>CA-2016-106075</t>
  </si>
  <si>
    <t>HM-14980</t>
  </si>
  <si>
    <t>Henry MacAllister</t>
  </si>
  <si>
    <t>OFF-BI-10004654</t>
  </si>
  <si>
    <t>Avery Binding System Hidden Tab Executive Style Index Sets</t>
  </si>
  <si>
    <t>CA-2017-114440</t>
  </si>
  <si>
    <t>Jackson</t>
  </si>
  <si>
    <t>OFF-PA-10004675</t>
  </si>
  <si>
    <t>Telephone Message Books with Fax/Mobile Section, 5 1/2" x 3 3/16"</t>
  </si>
  <si>
    <t>US-2015-134026</t>
  </si>
  <si>
    <t>JE-15745</t>
  </si>
  <si>
    <t>Joel Eaton</t>
  </si>
  <si>
    <t>Memphis</t>
  </si>
  <si>
    <t>Tennessee</t>
  </si>
  <si>
    <t>FUR-CH-10000513</t>
  </si>
  <si>
    <t>High-Back Leather Manager's Chair</t>
  </si>
  <si>
    <t>FUR-FU-10003708</t>
  </si>
  <si>
    <t>Tenex Traditional Chairmats for Medium Pile Carpet, Standard Lip, 36" x 48"</t>
  </si>
  <si>
    <t>OFF-ST-10004123</t>
  </si>
  <si>
    <t>Safco Industrial Wire Shelving System</t>
  </si>
  <si>
    <t>US-2017-118038</t>
  </si>
  <si>
    <t>KB-16600</t>
  </si>
  <si>
    <t>Ken Brennan</t>
  </si>
  <si>
    <t>OFF-BI-10004182</t>
  </si>
  <si>
    <t>Economy Binders</t>
  </si>
  <si>
    <t>FUR-FU-10000260</t>
  </si>
  <si>
    <t>6" Cubicle Wall Clock, Black</t>
  </si>
  <si>
    <t>OFF-ST-10000615</t>
  </si>
  <si>
    <t>SimpliFile Personal File, Black Granite, 15w x 6-15/16d x 11-1/4h</t>
  </si>
  <si>
    <t>US-2014-147606</t>
  </si>
  <si>
    <t>FUR-FU-10003194</t>
  </si>
  <si>
    <t>Eldon Expressions Desk Accessory, Wood Pencil Holder, Oak</t>
  </si>
  <si>
    <t>CA-2016-127208</t>
  </si>
  <si>
    <t>SC-20770</t>
  </si>
  <si>
    <t>Stewart Carmichael</t>
  </si>
  <si>
    <t>Decatur</t>
  </si>
  <si>
    <t>Alabama</t>
  </si>
  <si>
    <t>OFF-AP-10002118</t>
  </si>
  <si>
    <t>1.7 Cubic Foot Compact "Cube" Office Refrigerators</t>
  </si>
  <si>
    <t>OFF-BI-10002309</t>
  </si>
  <si>
    <t>Avery Heavy-Duty EZD  Binder With Locking Rings</t>
  </si>
  <si>
    <t>CA-2014-139451</t>
  </si>
  <si>
    <t>DN-13690</t>
  </si>
  <si>
    <t>Duane Noonan</t>
  </si>
  <si>
    <t>OFF-AR-10002053</t>
  </si>
  <si>
    <t>Premium Writing Pencils, Soft, #2 by Central Association for the Blind</t>
  </si>
  <si>
    <t>OFF-ST-10002370</t>
  </si>
  <si>
    <t>Sortfiler Multipurpose Personal File Organizer, Black</t>
  </si>
  <si>
    <t>CA-2015-149734</t>
  </si>
  <si>
    <t>JC-16105</t>
  </si>
  <si>
    <t>Julie Creighton</t>
  </si>
  <si>
    <t>Durham</t>
  </si>
  <si>
    <t>OFF-EN-10000927</t>
  </si>
  <si>
    <t>Jet-Pak Recycled Peel 'N' Seal Padded Mailers</t>
  </si>
  <si>
    <t>US-2017-119662</t>
  </si>
  <si>
    <t>CS-12400</t>
  </si>
  <si>
    <t>Christopher Schild</t>
  </si>
  <si>
    <t>OFF-ST-10003656</t>
  </si>
  <si>
    <t>Safco Industrial Wire Shelving</t>
  </si>
  <si>
    <t>CA-2017-140088</t>
  </si>
  <si>
    <t>Columbia</t>
  </si>
  <si>
    <t>South Carolina</t>
  </si>
  <si>
    <t>FUR-CH-10000863</t>
  </si>
  <si>
    <t>Novimex Swivel Fabric Task Chair</t>
  </si>
  <si>
    <t>CA-2017-155558</t>
  </si>
  <si>
    <t>PG-18895</t>
  </si>
  <si>
    <t>Paul Gonzalez</t>
  </si>
  <si>
    <t>Rochester</t>
  </si>
  <si>
    <t>TEC-AC-10001998</t>
  </si>
  <si>
    <t>Logitech LS21 Speaker System - PC Multimedia - 2.1-CH - Wired</t>
  </si>
  <si>
    <t>OFF-LA-10000134</t>
  </si>
  <si>
    <t>Avery 511</t>
  </si>
  <si>
    <t>CA-2016-159695</t>
  </si>
  <si>
    <t>GM-14455</t>
  </si>
  <si>
    <t>Gary Mitchum</t>
  </si>
  <si>
    <t>OFF-ST-10003442</t>
  </si>
  <si>
    <t>Eldon Portable Mobile Manager</t>
  </si>
  <si>
    <t>CA-2016-109806</t>
  </si>
  <si>
    <t>JS-15685</t>
  </si>
  <si>
    <t>Jim Sink</t>
  </si>
  <si>
    <t>OFF-AR-10004930</t>
  </si>
  <si>
    <t>Turquoise Lead Holder with Pocket Clip</t>
  </si>
  <si>
    <t>OFF-PA-10000304</t>
  </si>
  <si>
    <t>Xerox 1995</t>
  </si>
  <si>
    <t>CA-2015-149587</t>
  </si>
  <si>
    <t>KB-16315</t>
  </si>
  <si>
    <t>Karl Braun</t>
  </si>
  <si>
    <t>Minneapolis</t>
  </si>
  <si>
    <t>OFF-PA-10003177</t>
  </si>
  <si>
    <t>Xerox 1999</t>
  </si>
  <si>
    <t>FUR-FU-10003799</t>
  </si>
  <si>
    <t>Seth Thomas 13 1/2" Wall Clock</t>
  </si>
  <si>
    <t>OFF-BI-10002852</t>
  </si>
  <si>
    <t>Ibico Standard Transparent Covers</t>
  </si>
  <si>
    <t>US-2017-109484</t>
  </si>
  <si>
    <t>RB-19705</t>
  </si>
  <si>
    <t>Roger Barcio</t>
  </si>
  <si>
    <t>Portland</t>
  </si>
  <si>
    <t>Oregon</t>
  </si>
  <si>
    <t>OFF-BI-10004738</t>
  </si>
  <si>
    <t>Flexible Leather- Look Classic Collection Ring Binder</t>
  </si>
  <si>
    <t>CA-2017-161018</t>
  </si>
  <si>
    <t>PN-18775</t>
  </si>
  <si>
    <t>Parhena Norris</t>
  </si>
  <si>
    <t>FUR-FU-10000629</t>
  </si>
  <si>
    <t>9-3/4 Diameter Round Wall Clock</t>
  </si>
  <si>
    <t>CA-2017-157833</t>
  </si>
  <si>
    <t>KD-16345</t>
  </si>
  <si>
    <t>Katherine Ducich</t>
  </si>
  <si>
    <t>OFF-BI-10001721</t>
  </si>
  <si>
    <t>Trimflex Flexible Post Binders</t>
  </si>
  <si>
    <t>CA-2016-149223</t>
  </si>
  <si>
    <t>ER-13855</t>
  </si>
  <si>
    <t>Elpida Rittenbach</t>
  </si>
  <si>
    <t>Saint Paul</t>
  </si>
  <si>
    <t>OFF-AP-10000358</t>
  </si>
  <si>
    <t>Fellowes Basic Home/Office Series Surge Protectors</t>
  </si>
  <si>
    <t>CA-2016-158568</t>
  </si>
  <si>
    <t>RB-19465</t>
  </si>
  <si>
    <t>Rick Bensley</t>
  </si>
  <si>
    <t>OFF-PA-10003256</t>
  </si>
  <si>
    <t>Avery Personal Creations Heavyweight Cards</t>
  </si>
  <si>
    <t>TEC-AC-10001767</t>
  </si>
  <si>
    <t>SanDisk Ultra 64 GB MicroSDHC Class 10 Memory Card</t>
  </si>
  <si>
    <t>OFF-BI-10002609</t>
  </si>
  <si>
    <t>Avery Hidden Tab Dividers for Binding Systems</t>
  </si>
  <si>
    <t>CA-2016-129903</t>
  </si>
  <si>
    <t>GZ-14470</t>
  </si>
  <si>
    <t>Gary Zandusky</t>
  </si>
  <si>
    <t>OFF-PA-10004040</t>
  </si>
  <si>
    <t>Universal Premium White Copier/Laser Paper (20Lb. and 87 Bright)</t>
  </si>
  <si>
    <t>US-2015-156867</t>
  </si>
  <si>
    <t>LC-16870</t>
  </si>
  <si>
    <t>Lena Cacioppo</t>
  </si>
  <si>
    <t>Aurora</t>
  </si>
  <si>
    <t>Colorado</t>
  </si>
  <si>
    <t>TEC-AC-10001552</t>
  </si>
  <si>
    <t>Logitech K350 2.4Ghz Wireless Keyboard</t>
  </si>
  <si>
    <t>FUR-FU-10004006</t>
  </si>
  <si>
    <t>Deflect-o DuraMat Lighweight, Studded, Beveled Mat for Low Pile Carpeting</t>
  </si>
  <si>
    <t>OFF-BI-10002794</t>
  </si>
  <si>
    <t>Avery Trapezoid Ring Binder, 3" Capacity, Black, 1040 sheets</t>
  </si>
  <si>
    <t>CA-2017-119004</t>
  </si>
  <si>
    <t>JM-15250</t>
  </si>
  <si>
    <t>Janet Martin</t>
  </si>
  <si>
    <t>Charlotte</t>
  </si>
  <si>
    <t>TEC-AC-10003499</t>
  </si>
  <si>
    <t>Memorex Mini Travel Drive 8 GB USB 2.0 Flash Drive</t>
  </si>
  <si>
    <t>TEC-PH-10002844</t>
  </si>
  <si>
    <t>Speck Products Candyshell Flip Case</t>
  </si>
  <si>
    <t>OFF-AR-10000390</t>
  </si>
  <si>
    <t>Newell Chalk Holder</t>
  </si>
  <si>
    <t>CA-2015-129476</t>
  </si>
  <si>
    <t>PA-19060</t>
  </si>
  <si>
    <t>Pete Armstrong</t>
  </si>
  <si>
    <t>Orland Park</t>
  </si>
  <si>
    <t>TEC-AC-10000844</t>
  </si>
  <si>
    <t>Logitech Gaming G510s - Keyboard</t>
  </si>
  <si>
    <t>CA-2017-146780</t>
  </si>
  <si>
    <t>CV-12805</t>
  </si>
  <si>
    <t>Cynthia Voltz</t>
  </si>
  <si>
    <t>FUR-FU-10001934</t>
  </si>
  <si>
    <t>Magnifier Swing Arm Lamp</t>
  </si>
  <si>
    <t>CA-2016-128867</t>
  </si>
  <si>
    <t>CL-12565</t>
  </si>
  <si>
    <t>Clay Ludtke</t>
  </si>
  <si>
    <t>Urbandale</t>
  </si>
  <si>
    <t>Iowa</t>
  </si>
  <si>
    <t>OFF-AR-10000380</t>
  </si>
  <si>
    <t>Hunt PowerHouse Electric Pencil Sharpener, Blue</t>
  </si>
  <si>
    <t>OFF-BI-10003981</t>
  </si>
  <si>
    <t>Avery Durable Plastic 1" Binders</t>
  </si>
  <si>
    <t>CA-2014-115259</t>
  </si>
  <si>
    <t>RC-19960</t>
  </si>
  <si>
    <t>Ryan Crowe</t>
  </si>
  <si>
    <t>Columbus</t>
  </si>
  <si>
    <t>Ohio</t>
  </si>
  <si>
    <t>OFF-FA-10000621</t>
  </si>
  <si>
    <t>OIC Colored Binder Clips, Assorted Sizes</t>
  </si>
  <si>
    <t>OFF-EN-10002600</t>
  </si>
  <si>
    <t>Redi-Strip #10 Envelopes, 4 1/8 x 9 1/2</t>
  </si>
  <si>
    <t>OFF-PA-10004965</t>
  </si>
  <si>
    <t>Xerox 1921</t>
  </si>
  <si>
    <t>OFF-EN-10002504</t>
  </si>
  <si>
    <t>Tyvek  Top-Opening Peel &amp; Seel Envelopes, Plain White</t>
  </si>
  <si>
    <t>CA-2015-110457</t>
  </si>
  <si>
    <t>DK-13090</t>
  </si>
  <si>
    <t>Dave Kipp</t>
  </si>
  <si>
    <t>FUR-TA-10001768</t>
  </si>
  <si>
    <t>Hon Racetrack Conference Tables</t>
  </si>
  <si>
    <t>US-2015-136476</t>
  </si>
  <si>
    <t>GG-14650</t>
  </si>
  <si>
    <t>Greg Guthrie</t>
  </si>
  <si>
    <t>Bristol</t>
  </si>
  <si>
    <t>OFF-BI-10003650</t>
  </si>
  <si>
    <t>GBC DocuBind 300 Electric Binding Machine</t>
  </si>
  <si>
    <t>CA-2016-103730</t>
  </si>
  <si>
    <t>SC-20725</t>
  </si>
  <si>
    <t>Steven Cartwright</t>
  </si>
  <si>
    <t>Wilmington</t>
  </si>
  <si>
    <t>FUR-FU-10002157</t>
  </si>
  <si>
    <t>Artistic Insta-Plaque</t>
  </si>
  <si>
    <t>OFF-ST-10000777</t>
  </si>
  <si>
    <t>Companion Letter/Legal File, Black</t>
  </si>
  <si>
    <t>OFF-EN-10002500</t>
  </si>
  <si>
    <t>Globe Weis Peel &amp; Seel First Class Envelopes</t>
  </si>
  <si>
    <t>TEC-PH-10003875</t>
  </si>
  <si>
    <t>KLD Oscar II Style Snap-on Ultra Thin Side Flip Synthetic Leather Cover Case for HTC One HTC M7</t>
  </si>
  <si>
    <t>US-2014-152030</t>
  </si>
  <si>
    <t>AD-10180</t>
  </si>
  <si>
    <t>Alan Dominguez</t>
  </si>
  <si>
    <t>FUR-CH-10004063</t>
  </si>
  <si>
    <t>Global Deluxe High-Back Manager's Chair</t>
  </si>
  <si>
    <t>US-2014-134614</t>
  </si>
  <si>
    <t>PF-19165</t>
  </si>
  <si>
    <t>Philip Fox</t>
  </si>
  <si>
    <t>Bloomington</t>
  </si>
  <si>
    <t>FUR-TA-10004534</t>
  </si>
  <si>
    <t>Bevis 44 x 96 Conference Tables</t>
  </si>
  <si>
    <t>US-2017-107272</t>
  </si>
  <si>
    <t>TS-21610</t>
  </si>
  <si>
    <t>Troy Staebel</t>
  </si>
  <si>
    <t>Phoenix</t>
  </si>
  <si>
    <t>OFF-BI-10003274</t>
  </si>
  <si>
    <t>Avery Durable Slant Ring Binders, No Labels</t>
  </si>
  <si>
    <t>OFF-ST-10002974</t>
  </si>
  <si>
    <t>Trav-L-File Heavy-Duty Shuttle II, Black</t>
  </si>
  <si>
    <t>US-2016-125969</t>
  </si>
  <si>
    <t>LS-16975</t>
  </si>
  <si>
    <t>Lindsay Shagiari</t>
  </si>
  <si>
    <t>Global Task Chair, Black</t>
  </si>
  <si>
    <t>FUR-FU-10003773</t>
  </si>
  <si>
    <t>Eldon Cleatmat Plus Chair Mats for High Pile Carpets</t>
  </si>
  <si>
    <t>US-2017-164147</t>
  </si>
  <si>
    <t>DW-13585</t>
  </si>
  <si>
    <t>Dorothy Wardle</t>
  </si>
  <si>
    <t>TEC-PH-10002293</t>
  </si>
  <si>
    <t>Anker 36W 4-Port USB Wall Charger Travel Power Adapter for iPhone 5s 5c 5</t>
  </si>
  <si>
    <t>OFF-PA-10002377</t>
  </si>
  <si>
    <t>Xerox 1916</t>
  </si>
  <si>
    <t>OFF-FA-10002780</t>
  </si>
  <si>
    <t>Staples</t>
  </si>
  <si>
    <t>CA-2016-145583</t>
  </si>
  <si>
    <t>LC-16885</t>
  </si>
  <si>
    <t>Lena Creighton</t>
  </si>
  <si>
    <t>Roseville</t>
  </si>
  <si>
    <t>OFF-PA-10001804</t>
  </si>
  <si>
    <t>Xerox 195</t>
  </si>
  <si>
    <t>OFF-PA-10001736</t>
  </si>
  <si>
    <t>Xerox 1880</t>
  </si>
  <si>
    <t>OFF-AR-10001149</t>
  </si>
  <si>
    <t>Sanford Colorific Colored Pencils, 12/Box</t>
  </si>
  <si>
    <t>OFF-FA-10002988</t>
  </si>
  <si>
    <t>Ideal Clamps</t>
  </si>
  <si>
    <t>OFF-BI-10004781</t>
  </si>
  <si>
    <t>GBC Wire Binding Strips</t>
  </si>
  <si>
    <t>OFF-SU-10001218</t>
  </si>
  <si>
    <t>Supplies</t>
  </si>
  <si>
    <t>Fiskars Softgrip Scissors</t>
  </si>
  <si>
    <t>CA-2016-110366</t>
  </si>
  <si>
    <t>JD-15895</t>
  </si>
  <si>
    <t>Jonathan Doherty</t>
  </si>
  <si>
    <t>CA-2017-106180</t>
  </si>
  <si>
    <t>SH-19975</t>
  </si>
  <si>
    <t>Sally Hughsby</t>
  </si>
  <si>
    <t>OFF-AR-10000940</t>
  </si>
  <si>
    <t>Newell 343</t>
  </si>
  <si>
    <t>OFF-EN-10004030</t>
  </si>
  <si>
    <t>Convenience Packs of Business Envelopes</t>
  </si>
  <si>
    <t>OFF-PA-10004327</t>
  </si>
  <si>
    <t>Xerox 1911</t>
  </si>
  <si>
    <t>CA-2017-155376</t>
  </si>
  <si>
    <t>SG-20080</t>
  </si>
  <si>
    <t>Sandra Glassco</t>
  </si>
  <si>
    <t>Independence</t>
  </si>
  <si>
    <t>Missouri</t>
  </si>
  <si>
    <t>OFF-AP-10001058</t>
  </si>
  <si>
    <t>Sanyo 2.5 Cubic Foot Mid-Size Office Refrigerators</t>
  </si>
  <si>
    <t>CA-2015-110744</t>
  </si>
  <si>
    <t>HA-14920</t>
  </si>
  <si>
    <t>Helen Andreada</t>
  </si>
  <si>
    <t>Pasadena</t>
  </si>
  <si>
    <t>CA-2014-110072</t>
  </si>
  <si>
    <t>MG-17680</t>
  </si>
  <si>
    <t>Maureen Gastineau</t>
  </si>
  <si>
    <t>Newark</t>
  </si>
  <si>
    <t>FUR-FU-10000521</t>
  </si>
  <si>
    <t>Seth Thomas 14" Putty-Colored Wall Clock</t>
  </si>
  <si>
    <t>CA-2016-114489</t>
  </si>
  <si>
    <t>JE-16165</t>
  </si>
  <si>
    <t>Justin Ellison</t>
  </si>
  <si>
    <t>Franklin</t>
  </si>
  <si>
    <t>TEC-PH-10000215</t>
  </si>
  <si>
    <t>Plantronics Cordless Phone Headset with In-line Volume - M214C</t>
  </si>
  <si>
    <t>TEC-PH-10001448</t>
  </si>
  <si>
    <t>Anker Astro 15000mAh USB Portable Charger</t>
  </si>
  <si>
    <t>Days</t>
  </si>
  <si>
    <r>
      <t>Absolute Reference Shortcut -</t>
    </r>
    <r>
      <rPr>
        <b/>
        <sz val="12"/>
        <color rgb="FFFF0000"/>
        <rFont val="Calibri"/>
        <family val="2"/>
        <scheme val="minor"/>
      </rPr>
      <t>Ctrl+Shift+A</t>
    </r>
    <r>
      <rPr>
        <sz val="11"/>
        <color theme="1"/>
        <rFont val="Calibri"/>
        <family val="2"/>
        <scheme val="minor"/>
      </rPr>
      <t xml:space="preserve"> - writes "</t>
    </r>
    <r>
      <rPr>
        <sz val="11"/>
        <color rgb="FFFF0000"/>
        <rFont val="Calibri"/>
        <family val="2"/>
        <scheme val="minor"/>
      </rPr>
      <t>Absolute Reference</t>
    </r>
    <r>
      <rPr>
        <sz val="11"/>
        <color theme="1"/>
        <rFont val="Calibri"/>
        <family val="2"/>
        <scheme val="minor"/>
      </rPr>
      <t>" in D6</t>
    </r>
  </si>
  <si>
    <r>
      <t xml:space="preserve">Relative Reference Shortcut - </t>
    </r>
    <r>
      <rPr>
        <b/>
        <sz val="12"/>
        <color rgb="FFFF0000"/>
        <rFont val="Calibri"/>
        <family val="2"/>
        <scheme val="minor"/>
      </rPr>
      <t>Ctrl+Shift+R</t>
    </r>
    <r>
      <rPr>
        <sz val="11"/>
        <color theme="1"/>
        <rFont val="Calibri"/>
        <family val="2"/>
        <scheme val="minor"/>
      </rPr>
      <t xml:space="preserve"> - writes "</t>
    </r>
    <r>
      <rPr>
        <sz val="11"/>
        <color rgb="FFFF0000"/>
        <rFont val="Calibri"/>
        <family val="2"/>
        <scheme val="minor"/>
      </rPr>
      <t>Relative Reference</t>
    </r>
    <r>
      <rPr>
        <sz val="11"/>
        <color theme="1"/>
        <rFont val="Calibri"/>
        <family val="2"/>
        <scheme val="minor"/>
      </rPr>
      <t>" in active cell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</si>
</sst>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9">
    <xf numFmtId="0" fontId="0" fillId="0" borderId="0" xfId="0"/>
    <xf numFmtId="0" fontId="2" fillId="2" borderId="1" xfId="1" applyFont="1" applyFill="1" applyBorder="1"/>
    <xf numFmtId="0" fontId="1" fillId="0" borderId="0" xfId="1"/>
    <xf numFmtId="14" fontId="1" fillId="0" borderId="0" xfId="1" applyNumberFormat="1"/>
    <xf numFmtId="0" fontId="1" fillId="0" borderId="2" xfId="1" applyBorder="1"/>
    <xf numFmtId="0" fontId="2" fillId="2" borderId="4" xfId="1" applyFont="1" applyFill="1" applyBorder="1"/>
    <xf numFmtId="0" fontId="1" fillId="2" borderId="3" xfId="1" applyFill="1" applyBorder="1"/>
    <xf numFmtId="0" fontId="0" fillId="0" borderId="0" xfId="0" applyAlignment="1">
      <alignment horizontal="center"/>
    </xf>
    <xf numFmtId="0" fontId="0" fillId="0" borderId="1" xfId="0" applyBorder="1" applyAlignment="1">
      <alignment horizontal="center" vertical="center"/>
    </xf>
  </cellXfs>
  <cellStyles count="2">
    <cellStyle name="Normal" xfId="0" builtinId="0"/>
    <cellStyle name="Normal 2" xfId="1" xr:uid="{D9D0F9C7-1C4A-4443-B2EB-E1B67C85757F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22</xdr:col>
      <xdr:colOff>9922</xdr:colOff>
      <xdr:row>4</xdr:row>
      <xdr:rowOff>119063</xdr:rowOff>
    </xdr:from>
    <xdr:to>
      <xdr:col>28</xdr:col>
      <xdr:colOff>23603</xdr:colOff>
      <xdr:row>19</xdr:row>
      <xdr:rowOff>6497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36E4962-B3CB-2321-524E-D8F543D92B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31641" y="912813"/>
          <a:ext cx="3645087" cy="286399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488950</xdr:colOff>
      <xdr:row>0</xdr:row>
      <xdr:rowOff>104668</xdr:rowOff>
    </xdr:from>
    <xdr:to>
      <xdr:col>14</xdr:col>
      <xdr:colOff>196257</xdr:colOff>
      <xdr:row>16</xdr:row>
      <xdr:rowOff>38099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BAFA99C-A905-DDDC-2C15-73B4A2C829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34200" y="104668"/>
          <a:ext cx="5320707" cy="3178281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U150"/>
  <sheetViews>
    <sheetView tabSelected="1" topLeftCell="B1" zoomScale="64" workbookViewId="0">
      <selection activeCell="W28" sqref="W28"/>
    </sheetView>
  </sheetViews>
  <sheetFormatPr defaultRowHeight="14.5" x14ac:dyDescent="0.35"/>
  <cols>
    <col min="2" max="2" width="19.81640625" customWidth="1"/>
    <col min="3" max="3" width="21.90625" customWidth="1"/>
    <col min="21" max="21" width="8.7265625" customWidth="1"/>
  </cols>
  <sheetData>
    <row r="1" spans="1:21" ht="15.5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5" t="s">
        <v>19</v>
      </c>
      <c r="U1" s="6" t="s">
        <v>616</v>
      </c>
    </row>
    <row r="2" spans="1:21" ht="15.5" x14ac:dyDescent="0.35">
      <c r="A2" s="2" t="s">
        <v>20</v>
      </c>
      <c r="B2" s="3">
        <v>42682</v>
      </c>
      <c r="C2" s="3">
        <v>42685</v>
      </c>
      <c r="D2" s="2" t="s">
        <v>21</v>
      </c>
      <c r="E2" s="2" t="s">
        <v>22</v>
      </c>
      <c r="F2" s="2" t="s">
        <v>23</v>
      </c>
      <c r="G2" s="2" t="s">
        <v>24</v>
      </c>
      <c r="H2" s="2" t="s">
        <v>25</v>
      </c>
      <c r="I2" s="2" t="s">
        <v>26</v>
      </c>
      <c r="J2" s="2" t="s">
        <v>27</v>
      </c>
      <c r="K2" s="2">
        <v>42420</v>
      </c>
      <c r="L2" s="2" t="s">
        <v>28</v>
      </c>
      <c r="M2" s="2" t="s">
        <v>29</v>
      </c>
      <c r="N2" s="2" t="s">
        <v>30</v>
      </c>
      <c r="O2" s="2" t="s">
        <v>31</v>
      </c>
      <c r="P2" s="2" t="s">
        <v>32</v>
      </c>
      <c r="Q2" s="2">
        <v>261.95999999999998</v>
      </c>
      <c r="R2" s="2">
        <v>2</v>
      </c>
      <c r="S2" s="2">
        <v>0</v>
      </c>
      <c r="T2" s="4">
        <v>41.913600000000002</v>
      </c>
      <c r="U2">
        <f>C2-B2</f>
        <v>3</v>
      </c>
    </row>
    <row r="3" spans="1:21" ht="15.5" x14ac:dyDescent="0.35">
      <c r="A3" s="2" t="s">
        <v>20</v>
      </c>
      <c r="B3" s="3">
        <v>42682</v>
      </c>
      <c r="C3" s="3">
        <v>42685</v>
      </c>
      <c r="D3" s="2" t="s">
        <v>21</v>
      </c>
      <c r="E3" s="2" t="s">
        <v>22</v>
      </c>
      <c r="F3" s="2" t="s">
        <v>23</v>
      </c>
      <c r="G3" s="2" t="s">
        <v>24</v>
      </c>
      <c r="H3" s="2" t="s">
        <v>25</v>
      </c>
      <c r="I3" s="2" t="s">
        <v>26</v>
      </c>
      <c r="J3" s="2" t="s">
        <v>27</v>
      </c>
      <c r="K3" s="2">
        <v>42420</v>
      </c>
      <c r="L3" s="2" t="s">
        <v>28</v>
      </c>
      <c r="M3" s="2" t="s">
        <v>33</v>
      </c>
      <c r="N3" s="2" t="s">
        <v>30</v>
      </c>
      <c r="O3" s="2" t="s">
        <v>34</v>
      </c>
      <c r="P3" s="2" t="s">
        <v>35</v>
      </c>
      <c r="Q3" s="2">
        <v>731.93999999999994</v>
      </c>
      <c r="R3" s="2">
        <v>3</v>
      </c>
      <c r="S3" s="2">
        <v>0</v>
      </c>
      <c r="T3" s="4">
        <v>219.58199999999997</v>
      </c>
      <c r="U3">
        <f t="shared" ref="U3:U66" si="0">C3-B3</f>
        <v>3</v>
      </c>
    </row>
    <row r="4" spans="1:21" ht="15.5" x14ac:dyDescent="0.35">
      <c r="A4" s="2" t="s">
        <v>36</v>
      </c>
      <c r="B4" s="3">
        <v>42533</v>
      </c>
      <c r="C4" s="3">
        <v>42537</v>
      </c>
      <c r="D4" s="2" t="s">
        <v>21</v>
      </c>
      <c r="E4" s="2" t="s">
        <v>37</v>
      </c>
      <c r="F4" s="2" t="s">
        <v>38</v>
      </c>
      <c r="G4" s="2" t="s">
        <v>39</v>
      </c>
      <c r="H4" s="2" t="s">
        <v>25</v>
      </c>
      <c r="I4" s="2" t="s">
        <v>40</v>
      </c>
      <c r="J4" s="2" t="s">
        <v>41</v>
      </c>
      <c r="K4" s="2">
        <v>90036</v>
      </c>
      <c r="L4" s="2" t="s">
        <v>42</v>
      </c>
      <c r="M4" s="2" t="s">
        <v>43</v>
      </c>
      <c r="N4" s="2" t="s">
        <v>44</v>
      </c>
      <c r="O4" s="2" t="s">
        <v>45</v>
      </c>
      <c r="P4" s="2" t="s">
        <v>46</v>
      </c>
      <c r="Q4" s="2">
        <v>14.62</v>
      </c>
      <c r="R4" s="2">
        <v>2</v>
      </c>
      <c r="S4" s="2">
        <v>0</v>
      </c>
      <c r="T4" s="4">
        <v>6.8713999999999995</v>
      </c>
      <c r="U4">
        <f t="shared" si="0"/>
        <v>4</v>
      </c>
    </row>
    <row r="5" spans="1:21" ht="15.5" x14ac:dyDescent="0.35">
      <c r="A5" s="2" t="s">
        <v>47</v>
      </c>
      <c r="B5" s="3">
        <v>42288</v>
      </c>
      <c r="C5" s="3">
        <v>42295</v>
      </c>
      <c r="D5" s="2" t="s">
        <v>48</v>
      </c>
      <c r="E5" s="2" t="s">
        <v>49</v>
      </c>
      <c r="F5" s="2" t="s">
        <v>50</v>
      </c>
      <c r="G5" s="2" t="s">
        <v>24</v>
      </c>
      <c r="H5" s="2" t="s">
        <v>25</v>
      </c>
      <c r="I5" s="2" t="s">
        <v>51</v>
      </c>
      <c r="J5" s="2" t="s">
        <v>52</v>
      </c>
      <c r="K5" s="2">
        <v>33311</v>
      </c>
      <c r="L5" s="2" t="s">
        <v>28</v>
      </c>
      <c r="M5" s="2" t="s">
        <v>53</v>
      </c>
      <c r="N5" s="2" t="s">
        <v>30</v>
      </c>
      <c r="O5" s="2" t="s">
        <v>54</v>
      </c>
      <c r="P5" s="2" t="s">
        <v>55</v>
      </c>
      <c r="Q5" s="2">
        <v>957.57749999999999</v>
      </c>
      <c r="R5" s="2">
        <v>5</v>
      </c>
      <c r="S5" s="2">
        <v>0.45</v>
      </c>
      <c r="T5" s="4">
        <v>-383.03100000000006</v>
      </c>
      <c r="U5">
        <f t="shared" si="0"/>
        <v>7</v>
      </c>
    </row>
    <row r="6" spans="1:21" ht="15.5" x14ac:dyDescent="0.35">
      <c r="A6" s="2" t="s">
        <v>47</v>
      </c>
      <c r="B6" s="3">
        <v>42288</v>
      </c>
      <c r="C6" s="3">
        <v>42295</v>
      </c>
      <c r="D6" s="2" t="s">
        <v>48</v>
      </c>
      <c r="E6" s="2" t="s">
        <v>49</v>
      </c>
      <c r="F6" s="2" t="s">
        <v>50</v>
      </c>
      <c r="G6" s="2" t="s">
        <v>24</v>
      </c>
      <c r="H6" s="2" t="s">
        <v>25</v>
      </c>
      <c r="I6" s="2" t="s">
        <v>51</v>
      </c>
      <c r="J6" s="2" t="s">
        <v>52</v>
      </c>
      <c r="K6" s="2">
        <v>33311</v>
      </c>
      <c r="L6" s="2" t="s">
        <v>28</v>
      </c>
      <c r="M6" s="2" t="s">
        <v>56</v>
      </c>
      <c r="N6" s="2" t="s">
        <v>44</v>
      </c>
      <c r="O6" s="2" t="s">
        <v>57</v>
      </c>
      <c r="P6" s="2" t="s">
        <v>58</v>
      </c>
      <c r="Q6" s="2">
        <v>22.368000000000002</v>
      </c>
      <c r="R6" s="2">
        <v>2</v>
      </c>
      <c r="S6" s="2">
        <v>0.2</v>
      </c>
      <c r="T6" s="4">
        <v>2.5163999999999991</v>
      </c>
      <c r="U6">
        <f t="shared" si="0"/>
        <v>7</v>
      </c>
    </row>
    <row r="7" spans="1:21" ht="15.5" x14ac:dyDescent="0.35">
      <c r="A7" s="2" t="s">
        <v>59</v>
      </c>
      <c r="B7" s="3">
        <v>41799</v>
      </c>
      <c r="C7" s="3">
        <v>41804</v>
      </c>
      <c r="D7" s="2" t="s">
        <v>48</v>
      </c>
      <c r="E7" s="2" t="s">
        <v>60</v>
      </c>
      <c r="F7" s="2" t="s">
        <v>61</v>
      </c>
      <c r="G7" s="2" t="s">
        <v>24</v>
      </c>
      <c r="H7" s="2" t="s">
        <v>25</v>
      </c>
      <c r="I7" s="2" t="s">
        <v>40</v>
      </c>
      <c r="J7" s="2" t="s">
        <v>41</v>
      </c>
      <c r="K7" s="2">
        <v>90032</v>
      </c>
      <c r="L7" s="2" t="s">
        <v>42</v>
      </c>
      <c r="M7" s="2" t="s">
        <v>62</v>
      </c>
      <c r="N7" s="2" t="s">
        <v>30</v>
      </c>
      <c r="O7" s="2" t="s">
        <v>63</v>
      </c>
      <c r="P7" s="2" t="s">
        <v>64</v>
      </c>
      <c r="Q7" s="2">
        <v>48.86</v>
      </c>
      <c r="R7" s="2">
        <v>7</v>
      </c>
      <c r="S7" s="2">
        <v>0</v>
      </c>
      <c r="T7" s="4">
        <v>14.169399999999996</v>
      </c>
      <c r="U7">
        <f t="shared" si="0"/>
        <v>5</v>
      </c>
    </row>
    <row r="8" spans="1:21" ht="15.5" x14ac:dyDescent="0.35">
      <c r="A8" s="2" t="s">
        <v>59</v>
      </c>
      <c r="B8" s="3">
        <v>41799</v>
      </c>
      <c r="C8" s="3">
        <v>41804</v>
      </c>
      <c r="D8" s="2" t="s">
        <v>48</v>
      </c>
      <c r="E8" s="2" t="s">
        <v>60</v>
      </c>
      <c r="F8" s="2" t="s">
        <v>61</v>
      </c>
      <c r="G8" s="2" t="s">
        <v>24</v>
      </c>
      <c r="H8" s="2" t="s">
        <v>25</v>
      </c>
      <c r="I8" s="2" t="s">
        <v>40</v>
      </c>
      <c r="J8" s="2" t="s">
        <v>41</v>
      </c>
      <c r="K8" s="2">
        <v>90032</v>
      </c>
      <c r="L8" s="2" t="s">
        <v>42</v>
      </c>
      <c r="M8" s="2" t="s">
        <v>65</v>
      </c>
      <c r="N8" s="2" t="s">
        <v>44</v>
      </c>
      <c r="O8" s="2" t="s">
        <v>66</v>
      </c>
      <c r="P8" s="2" t="s">
        <v>67</v>
      </c>
      <c r="Q8" s="2">
        <v>7.28</v>
      </c>
      <c r="R8" s="2">
        <v>4</v>
      </c>
      <c r="S8" s="2">
        <v>0</v>
      </c>
      <c r="T8" s="4">
        <v>1.9656000000000002</v>
      </c>
      <c r="U8">
        <f t="shared" si="0"/>
        <v>5</v>
      </c>
    </row>
    <row r="9" spans="1:21" ht="15.5" x14ac:dyDescent="0.35">
      <c r="A9" s="2" t="s">
        <v>59</v>
      </c>
      <c r="B9" s="3">
        <v>41799</v>
      </c>
      <c r="C9" s="3">
        <v>41804</v>
      </c>
      <c r="D9" s="2" t="s">
        <v>48</v>
      </c>
      <c r="E9" s="2" t="s">
        <v>60</v>
      </c>
      <c r="F9" s="2" t="s">
        <v>61</v>
      </c>
      <c r="G9" s="2" t="s">
        <v>24</v>
      </c>
      <c r="H9" s="2" t="s">
        <v>25</v>
      </c>
      <c r="I9" s="2" t="s">
        <v>40</v>
      </c>
      <c r="J9" s="2" t="s">
        <v>41</v>
      </c>
      <c r="K9" s="2">
        <v>90032</v>
      </c>
      <c r="L9" s="2" t="s">
        <v>42</v>
      </c>
      <c r="M9" s="2" t="s">
        <v>68</v>
      </c>
      <c r="N9" s="2" t="s">
        <v>69</v>
      </c>
      <c r="O9" s="2" t="s">
        <v>70</v>
      </c>
      <c r="P9" s="2" t="s">
        <v>71</v>
      </c>
      <c r="Q9" s="2">
        <v>907.15200000000004</v>
      </c>
      <c r="R9" s="2">
        <v>6</v>
      </c>
      <c r="S9" s="2">
        <v>0.2</v>
      </c>
      <c r="T9" s="4">
        <v>90.715200000000038</v>
      </c>
      <c r="U9">
        <f t="shared" si="0"/>
        <v>5</v>
      </c>
    </row>
    <row r="10" spans="1:21" ht="15.5" x14ac:dyDescent="0.35">
      <c r="A10" s="2" t="s">
        <v>59</v>
      </c>
      <c r="B10" s="3">
        <v>41799</v>
      </c>
      <c r="C10" s="3">
        <v>41804</v>
      </c>
      <c r="D10" s="2" t="s">
        <v>48</v>
      </c>
      <c r="E10" s="2" t="s">
        <v>60</v>
      </c>
      <c r="F10" s="2" t="s">
        <v>61</v>
      </c>
      <c r="G10" s="2" t="s">
        <v>24</v>
      </c>
      <c r="H10" s="2" t="s">
        <v>25</v>
      </c>
      <c r="I10" s="2" t="s">
        <v>40</v>
      </c>
      <c r="J10" s="2" t="s">
        <v>41</v>
      </c>
      <c r="K10" s="2">
        <v>90032</v>
      </c>
      <c r="L10" s="2" t="s">
        <v>42</v>
      </c>
      <c r="M10" s="2" t="s">
        <v>72</v>
      </c>
      <c r="N10" s="2" t="s">
        <v>44</v>
      </c>
      <c r="O10" s="2" t="s">
        <v>73</v>
      </c>
      <c r="P10" s="2" t="s">
        <v>74</v>
      </c>
      <c r="Q10" s="2">
        <v>18.504000000000001</v>
      </c>
      <c r="R10" s="2">
        <v>3</v>
      </c>
      <c r="S10" s="2">
        <v>0.2</v>
      </c>
      <c r="T10" s="4">
        <v>5.7824999999999998</v>
      </c>
      <c r="U10">
        <f t="shared" si="0"/>
        <v>5</v>
      </c>
    </row>
    <row r="11" spans="1:21" ht="15.5" x14ac:dyDescent="0.35">
      <c r="A11" s="2" t="s">
        <v>59</v>
      </c>
      <c r="B11" s="3">
        <v>41799</v>
      </c>
      <c r="C11" s="3">
        <v>41804</v>
      </c>
      <c r="D11" s="2" t="s">
        <v>48</v>
      </c>
      <c r="E11" s="2" t="s">
        <v>60</v>
      </c>
      <c r="F11" s="2" t="s">
        <v>61</v>
      </c>
      <c r="G11" s="2" t="s">
        <v>24</v>
      </c>
      <c r="H11" s="2" t="s">
        <v>25</v>
      </c>
      <c r="I11" s="2" t="s">
        <v>40</v>
      </c>
      <c r="J11" s="2" t="s">
        <v>41</v>
      </c>
      <c r="K11" s="2">
        <v>90032</v>
      </c>
      <c r="L11" s="2" t="s">
        <v>42</v>
      </c>
      <c r="M11" s="2" t="s">
        <v>75</v>
      </c>
      <c r="N11" s="2" t="s">
        <v>44</v>
      </c>
      <c r="O11" s="2" t="s">
        <v>76</v>
      </c>
      <c r="P11" s="2" t="s">
        <v>77</v>
      </c>
      <c r="Q11" s="2">
        <v>114.9</v>
      </c>
      <c r="R11" s="2">
        <v>5</v>
      </c>
      <c r="S11" s="2">
        <v>0</v>
      </c>
      <c r="T11" s="4">
        <v>34.469999999999992</v>
      </c>
      <c r="U11">
        <f t="shared" si="0"/>
        <v>5</v>
      </c>
    </row>
    <row r="12" spans="1:21" ht="15.5" x14ac:dyDescent="0.35">
      <c r="A12" s="2" t="s">
        <v>59</v>
      </c>
      <c r="B12" s="3">
        <v>41799</v>
      </c>
      <c r="C12" s="3">
        <v>41804</v>
      </c>
      <c r="D12" s="2" t="s">
        <v>48</v>
      </c>
      <c r="E12" s="2" t="s">
        <v>60</v>
      </c>
      <c r="F12" s="2" t="s">
        <v>61</v>
      </c>
      <c r="G12" s="2" t="s">
        <v>24</v>
      </c>
      <c r="H12" s="2" t="s">
        <v>25</v>
      </c>
      <c r="I12" s="2" t="s">
        <v>40</v>
      </c>
      <c r="J12" s="2" t="s">
        <v>41</v>
      </c>
      <c r="K12" s="2">
        <v>90032</v>
      </c>
      <c r="L12" s="2" t="s">
        <v>42</v>
      </c>
      <c r="M12" s="2" t="s">
        <v>78</v>
      </c>
      <c r="N12" s="2" t="s">
        <v>30</v>
      </c>
      <c r="O12" s="2" t="s">
        <v>54</v>
      </c>
      <c r="P12" s="2" t="s">
        <v>79</v>
      </c>
      <c r="Q12" s="2">
        <v>1706.1840000000002</v>
      </c>
      <c r="R12" s="2">
        <v>9</v>
      </c>
      <c r="S12" s="2">
        <v>0.2</v>
      </c>
      <c r="T12" s="4">
        <v>85.309199999999805</v>
      </c>
      <c r="U12">
        <f t="shared" si="0"/>
        <v>5</v>
      </c>
    </row>
    <row r="13" spans="1:21" ht="15.5" x14ac:dyDescent="0.35">
      <c r="A13" s="2" t="s">
        <v>59</v>
      </c>
      <c r="B13" s="3">
        <v>41799</v>
      </c>
      <c r="C13" s="3">
        <v>41804</v>
      </c>
      <c r="D13" s="2" t="s">
        <v>48</v>
      </c>
      <c r="E13" s="2" t="s">
        <v>60</v>
      </c>
      <c r="F13" s="2" t="s">
        <v>61</v>
      </c>
      <c r="G13" s="2" t="s">
        <v>24</v>
      </c>
      <c r="H13" s="2" t="s">
        <v>25</v>
      </c>
      <c r="I13" s="2" t="s">
        <v>40</v>
      </c>
      <c r="J13" s="2" t="s">
        <v>41</v>
      </c>
      <c r="K13" s="2">
        <v>90032</v>
      </c>
      <c r="L13" s="2" t="s">
        <v>42</v>
      </c>
      <c r="M13" s="2" t="s">
        <v>80</v>
      </c>
      <c r="N13" s="2" t="s">
        <v>69</v>
      </c>
      <c r="O13" s="2" t="s">
        <v>70</v>
      </c>
      <c r="P13" s="2" t="s">
        <v>81</v>
      </c>
      <c r="Q13" s="2">
        <v>911.42399999999998</v>
      </c>
      <c r="R13" s="2">
        <v>4</v>
      </c>
      <c r="S13" s="2">
        <v>0.2</v>
      </c>
      <c r="T13" s="4">
        <v>68.356800000000021</v>
      </c>
      <c r="U13">
        <f t="shared" si="0"/>
        <v>5</v>
      </c>
    </row>
    <row r="14" spans="1:21" ht="15.5" x14ac:dyDescent="0.35">
      <c r="A14" s="2" t="s">
        <v>82</v>
      </c>
      <c r="B14" s="3">
        <v>42840</v>
      </c>
      <c r="C14" s="3">
        <v>42845</v>
      </c>
      <c r="D14" s="2" t="s">
        <v>48</v>
      </c>
      <c r="E14" s="2" t="s">
        <v>83</v>
      </c>
      <c r="F14" s="2" t="s">
        <v>84</v>
      </c>
      <c r="G14" s="2" t="s">
        <v>24</v>
      </c>
      <c r="H14" s="2" t="s">
        <v>25</v>
      </c>
      <c r="I14" s="2" t="s">
        <v>85</v>
      </c>
      <c r="J14" s="2" t="s">
        <v>86</v>
      </c>
      <c r="K14" s="2">
        <v>28027</v>
      </c>
      <c r="L14" s="2" t="s">
        <v>28</v>
      </c>
      <c r="M14" s="2" t="s">
        <v>87</v>
      </c>
      <c r="N14" s="2" t="s">
        <v>44</v>
      </c>
      <c r="O14" s="2" t="s">
        <v>88</v>
      </c>
      <c r="P14" s="2" t="s">
        <v>89</v>
      </c>
      <c r="Q14" s="2">
        <v>15.552000000000003</v>
      </c>
      <c r="R14" s="2">
        <v>3</v>
      </c>
      <c r="S14" s="2">
        <v>0.2</v>
      </c>
      <c r="T14" s="4">
        <v>5.4432</v>
      </c>
      <c r="U14">
        <f t="shared" si="0"/>
        <v>5</v>
      </c>
    </row>
    <row r="15" spans="1:21" ht="15.5" x14ac:dyDescent="0.35">
      <c r="A15" s="2" t="s">
        <v>90</v>
      </c>
      <c r="B15" s="3">
        <v>42709</v>
      </c>
      <c r="C15" s="3">
        <v>42714</v>
      </c>
      <c r="D15" s="2" t="s">
        <v>48</v>
      </c>
      <c r="E15" s="2" t="s">
        <v>91</v>
      </c>
      <c r="F15" s="2" t="s">
        <v>92</v>
      </c>
      <c r="G15" s="2" t="s">
        <v>24</v>
      </c>
      <c r="H15" s="2" t="s">
        <v>25</v>
      </c>
      <c r="I15" s="2" t="s">
        <v>93</v>
      </c>
      <c r="J15" s="2" t="s">
        <v>94</v>
      </c>
      <c r="K15" s="2">
        <v>98103</v>
      </c>
      <c r="L15" s="2" t="s">
        <v>42</v>
      </c>
      <c r="M15" s="2" t="s">
        <v>95</v>
      </c>
      <c r="N15" s="2" t="s">
        <v>44</v>
      </c>
      <c r="O15" s="2" t="s">
        <v>73</v>
      </c>
      <c r="P15" s="2" t="s">
        <v>96</v>
      </c>
      <c r="Q15" s="2">
        <v>407.97600000000006</v>
      </c>
      <c r="R15" s="2">
        <v>3</v>
      </c>
      <c r="S15" s="2">
        <v>0.2</v>
      </c>
      <c r="T15" s="4">
        <v>132.59219999999993</v>
      </c>
      <c r="U15">
        <f t="shared" si="0"/>
        <v>5</v>
      </c>
    </row>
    <row r="16" spans="1:21" ht="15.5" x14ac:dyDescent="0.35">
      <c r="A16" s="2" t="s">
        <v>97</v>
      </c>
      <c r="B16" s="3">
        <v>42330</v>
      </c>
      <c r="C16" s="3">
        <v>42334</v>
      </c>
      <c r="D16" s="2" t="s">
        <v>48</v>
      </c>
      <c r="E16" s="2" t="s">
        <v>98</v>
      </c>
      <c r="F16" s="2" t="s">
        <v>99</v>
      </c>
      <c r="G16" s="2" t="s">
        <v>100</v>
      </c>
      <c r="H16" s="2" t="s">
        <v>25</v>
      </c>
      <c r="I16" s="2" t="s">
        <v>101</v>
      </c>
      <c r="J16" s="2" t="s">
        <v>102</v>
      </c>
      <c r="K16" s="2">
        <v>76106</v>
      </c>
      <c r="L16" s="2" t="s">
        <v>103</v>
      </c>
      <c r="M16" s="2" t="s">
        <v>104</v>
      </c>
      <c r="N16" s="2" t="s">
        <v>44</v>
      </c>
      <c r="O16" s="2" t="s">
        <v>76</v>
      </c>
      <c r="P16" s="2" t="s">
        <v>105</v>
      </c>
      <c r="Q16" s="2">
        <v>68.809999999999988</v>
      </c>
      <c r="R16" s="2">
        <v>5</v>
      </c>
      <c r="S16" s="2">
        <v>0.8</v>
      </c>
      <c r="T16" s="4">
        <v>-123.858</v>
      </c>
      <c r="U16">
        <f t="shared" si="0"/>
        <v>4</v>
      </c>
    </row>
    <row r="17" spans="1:21" ht="15.5" x14ac:dyDescent="0.35">
      <c r="A17" s="2" t="s">
        <v>97</v>
      </c>
      <c r="B17" s="3">
        <v>42330</v>
      </c>
      <c r="C17" s="3">
        <v>42334</v>
      </c>
      <c r="D17" s="2" t="s">
        <v>48</v>
      </c>
      <c r="E17" s="2" t="s">
        <v>98</v>
      </c>
      <c r="F17" s="2" t="s">
        <v>99</v>
      </c>
      <c r="G17" s="2" t="s">
        <v>100</v>
      </c>
      <c r="H17" s="2" t="s">
        <v>25</v>
      </c>
      <c r="I17" s="2" t="s">
        <v>101</v>
      </c>
      <c r="J17" s="2" t="s">
        <v>102</v>
      </c>
      <c r="K17" s="2">
        <v>76106</v>
      </c>
      <c r="L17" s="2" t="s">
        <v>103</v>
      </c>
      <c r="M17" s="2" t="s">
        <v>106</v>
      </c>
      <c r="N17" s="2" t="s">
        <v>44</v>
      </c>
      <c r="O17" s="2" t="s">
        <v>73</v>
      </c>
      <c r="P17" s="2" t="s">
        <v>107</v>
      </c>
      <c r="Q17" s="2">
        <v>2.5439999999999996</v>
      </c>
      <c r="R17" s="2">
        <v>3</v>
      </c>
      <c r="S17" s="2">
        <v>0.8</v>
      </c>
      <c r="T17" s="4">
        <v>-3.8160000000000016</v>
      </c>
      <c r="U17">
        <f t="shared" si="0"/>
        <v>4</v>
      </c>
    </row>
    <row r="18" spans="1:21" ht="15.5" x14ac:dyDescent="0.35">
      <c r="A18" s="2" t="s">
        <v>108</v>
      </c>
      <c r="B18" s="3">
        <v>41954</v>
      </c>
      <c r="C18" s="3">
        <v>41961</v>
      </c>
      <c r="D18" s="2" t="s">
        <v>48</v>
      </c>
      <c r="E18" s="2" t="s">
        <v>109</v>
      </c>
      <c r="F18" s="2" t="s">
        <v>110</v>
      </c>
      <c r="G18" s="2" t="s">
        <v>24</v>
      </c>
      <c r="H18" s="2" t="s">
        <v>25</v>
      </c>
      <c r="I18" s="2" t="s">
        <v>111</v>
      </c>
      <c r="J18" s="2" t="s">
        <v>112</v>
      </c>
      <c r="K18" s="2">
        <v>53711</v>
      </c>
      <c r="L18" s="2" t="s">
        <v>103</v>
      </c>
      <c r="M18" s="2" t="s">
        <v>113</v>
      </c>
      <c r="N18" s="2" t="s">
        <v>44</v>
      </c>
      <c r="O18" s="2" t="s">
        <v>57</v>
      </c>
      <c r="P18" s="2" t="s">
        <v>114</v>
      </c>
      <c r="Q18" s="2">
        <v>665.88</v>
      </c>
      <c r="R18" s="2">
        <v>6</v>
      </c>
      <c r="S18" s="2">
        <v>0</v>
      </c>
      <c r="T18" s="4">
        <v>13.317599999999999</v>
      </c>
      <c r="U18">
        <f t="shared" si="0"/>
        <v>7</v>
      </c>
    </row>
    <row r="19" spans="1:21" ht="15.5" x14ac:dyDescent="0.35">
      <c r="A19" s="2" t="s">
        <v>115</v>
      </c>
      <c r="B19" s="3">
        <v>41772</v>
      </c>
      <c r="C19" s="3">
        <v>41774</v>
      </c>
      <c r="D19" s="2" t="s">
        <v>21</v>
      </c>
      <c r="E19" s="2" t="s">
        <v>116</v>
      </c>
      <c r="F19" s="2" t="s">
        <v>117</v>
      </c>
      <c r="G19" s="2" t="s">
        <v>24</v>
      </c>
      <c r="H19" s="2" t="s">
        <v>25</v>
      </c>
      <c r="I19" s="2" t="s">
        <v>118</v>
      </c>
      <c r="J19" s="2" t="s">
        <v>119</v>
      </c>
      <c r="K19" s="2">
        <v>84084</v>
      </c>
      <c r="L19" s="2" t="s">
        <v>42</v>
      </c>
      <c r="M19" s="2" t="s">
        <v>120</v>
      </c>
      <c r="N19" s="2" t="s">
        <v>44</v>
      </c>
      <c r="O19" s="2" t="s">
        <v>57</v>
      </c>
      <c r="P19" s="2" t="s">
        <v>121</v>
      </c>
      <c r="Q19" s="2">
        <v>55.5</v>
      </c>
      <c r="R19" s="2">
        <v>2</v>
      </c>
      <c r="S19" s="2">
        <v>0</v>
      </c>
      <c r="T19" s="4">
        <v>9.9899999999999949</v>
      </c>
      <c r="U19">
        <f t="shared" si="0"/>
        <v>2</v>
      </c>
    </row>
    <row r="20" spans="1:21" ht="15.5" x14ac:dyDescent="0.35">
      <c r="A20" s="2" t="s">
        <v>122</v>
      </c>
      <c r="B20" s="3">
        <v>41878</v>
      </c>
      <c r="C20" s="3">
        <v>41883</v>
      </c>
      <c r="D20" s="2" t="s">
        <v>21</v>
      </c>
      <c r="E20" s="2" t="s">
        <v>123</v>
      </c>
      <c r="F20" s="2" t="s">
        <v>124</v>
      </c>
      <c r="G20" s="2" t="s">
        <v>24</v>
      </c>
      <c r="H20" s="2" t="s">
        <v>25</v>
      </c>
      <c r="I20" s="2" t="s">
        <v>125</v>
      </c>
      <c r="J20" s="2" t="s">
        <v>41</v>
      </c>
      <c r="K20" s="2">
        <v>94109</v>
      </c>
      <c r="L20" s="2" t="s">
        <v>42</v>
      </c>
      <c r="M20" s="2" t="s">
        <v>126</v>
      </c>
      <c r="N20" s="2" t="s">
        <v>44</v>
      </c>
      <c r="O20" s="2" t="s">
        <v>66</v>
      </c>
      <c r="P20" s="2" t="s">
        <v>127</v>
      </c>
      <c r="Q20" s="2">
        <v>8.56</v>
      </c>
      <c r="R20" s="2">
        <v>2</v>
      </c>
      <c r="S20" s="2">
        <v>0</v>
      </c>
      <c r="T20" s="4">
        <v>2.4823999999999993</v>
      </c>
      <c r="U20">
        <f t="shared" si="0"/>
        <v>5</v>
      </c>
    </row>
    <row r="21" spans="1:21" ht="15.5" x14ac:dyDescent="0.35">
      <c r="A21" s="2" t="s">
        <v>122</v>
      </c>
      <c r="B21" s="3">
        <v>41878</v>
      </c>
      <c r="C21" s="3">
        <v>41883</v>
      </c>
      <c r="D21" s="2" t="s">
        <v>21</v>
      </c>
      <c r="E21" s="2" t="s">
        <v>123</v>
      </c>
      <c r="F21" s="2" t="s">
        <v>124</v>
      </c>
      <c r="G21" s="2" t="s">
        <v>24</v>
      </c>
      <c r="H21" s="2" t="s">
        <v>25</v>
      </c>
      <c r="I21" s="2" t="s">
        <v>125</v>
      </c>
      <c r="J21" s="2" t="s">
        <v>41</v>
      </c>
      <c r="K21" s="2">
        <v>94109</v>
      </c>
      <c r="L21" s="2" t="s">
        <v>42</v>
      </c>
      <c r="M21" s="2" t="s">
        <v>128</v>
      </c>
      <c r="N21" s="2" t="s">
        <v>69</v>
      </c>
      <c r="O21" s="2" t="s">
        <v>70</v>
      </c>
      <c r="P21" s="2" t="s">
        <v>129</v>
      </c>
      <c r="Q21" s="2">
        <v>213.48000000000002</v>
      </c>
      <c r="R21" s="2">
        <v>3</v>
      </c>
      <c r="S21" s="2">
        <v>0.2</v>
      </c>
      <c r="T21" s="4">
        <v>16.010999999999981</v>
      </c>
      <c r="U21">
        <f t="shared" si="0"/>
        <v>5</v>
      </c>
    </row>
    <row r="22" spans="1:21" ht="15.5" x14ac:dyDescent="0.35">
      <c r="A22" s="2" t="s">
        <v>122</v>
      </c>
      <c r="B22" s="3">
        <v>41878</v>
      </c>
      <c r="C22" s="3">
        <v>41883</v>
      </c>
      <c r="D22" s="2" t="s">
        <v>21</v>
      </c>
      <c r="E22" s="2" t="s">
        <v>123</v>
      </c>
      <c r="F22" s="2" t="s">
        <v>124</v>
      </c>
      <c r="G22" s="2" t="s">
        <v>24</v>
      </c>
      <c r="H22" s="2" t="s">
        <v>25</v>
      </c>
      <c r="I22" s="2" t="s">
        <v>125</v>
      </c>
      <c r="J22" s="2" t="s">
        <v>41</v>
      </c>
      <c r="K22" s="2">
        <v>94109</v>
      </c>
      <c r="L22" s="2" t="s">
        <v>42</v>
      </c>
      <c r="M22" s="2" t="s">
        <v>130</v>
      </c>
      <c r="N22" s="2" t="s">
        <v>44</v>
      </c>
      <c r="O22" s="2" t="s">
        <v>73</v>
      </c>
      <c r="P22" s="2" t="s">
        <v>131</v>
      </c>
      <c r="Q22" s="2">
        <v>22.72</v>
      </c>
      <c r="R22" s="2">
        <v>4</v>
      </c>
      <c r="S22" s="2">
        <v>0.2</v>
      </c>
      <c r="T22" s="4">
        <v>7.3839999999999986</v>
      </c>
      <c r="U22">
        <f t="shared" si="0"/>
        <v>5</v>
      </c>
    </row>
    <row r="23" spans="1:21" ht="15.5" x14ac:dyDescent="0.35">
      <c r="A23" s="2" t="s">
        <v>132</v>
      </c>
      <c r="B23" s="3">
        <v>42713</v>
      </c>
      <c r="C23" s="3">
        <v>42717</v>
      </c>
      <c r="D23" s="2" t="s">
        <v>48</v>
      </c>
      <c r="E23" s="2" t="s">
        <v>133</v>
      </c>
      <c r="F23" s="2" t="s">
        <v>134</v>
      </c>
      <c r="G23" s="2" t="s">
        <v>39</v>
      </c>
      <c r="H23" s="2" t="s">
        <v>25</v>
      </c>
      <c r="I23" s="2" t="s">
        <v>135</v>
      </c>
      <c r="J23" s="2" t="s">
        <v>136</v>
      </c>
      <c r="K23" s="2">
        <v>68025</v>
      </c>
      <c r="L23" s="2" t="s">
        <v>103</v>
      </c>
      <c r="M23" s="2" t="s">
        <v>137</v>
      </c>
      <c r="N23" s="2" t="s">
        <v>44</v>
      </c>
      <c r="O23" s="2" t="s">
        <v>66</v>
      </c>
      <c r="P23" s="2" t="s">
        <v>138</v>
      </c>
      <c r="Q23" s="2">
        <v>19.459999999999997</v>
      </c>
      <c r="R23" s="2">
        <v>7</v>
      </c>
      <c r="S23" s="2">
        <v>0</v>
      </c>
      <c r="T23" s="4">
        <v>5.0595999999999997</v>
      </c>
      <c r="U23">
        <f t="shared" si="0"/>
        <v>4</v>
      </c>
    </row>
    <row r="24" spans="1:21" ht="15.5" x14ac:dyDescent="0.35">
      <c r="A24" s="2" t="s">
        <v>132</v>
      </c>
      <c r="B24" s="3">
        <v>42713</v>
      </c>
      <c r="C24" s="3">
        <v>42717</v>
      </c>
      <c r="D24" s="2" t="s">
        <v>48</v>
      </c>
      <c r="E24" s="2" t="s">
        <v>133</v>
      </c>
      <c r="F24" s="2" t="s">
        <v>134</v>
      </c>
      <c r="G24" s="2" t="s">
        <v>39</v>
      </c>
      <c r="H24" s="2" t="s">
        <v>25</v>
      </c>
      <c r="I24" s="2" t="s">
        <v>135</v>
      </c>
      <c r="J24" s="2" t="s">
        <v>136</v>
      </c>
      <c r="K24" s="2">
        <v>68025</v>
      </c>
      <c r="L24" s="2" t="s">
        <v>103</v>
      </c>
      <c r="M24" s="2" t="s">
        <v>139</v>
      </c>
      <c r="N24" s="2" t="s">
        <v>44</v>
      </c>
      <c r="O24" s="2" t="s">
        <v>76</v>
      </c>
      <c r="P24" s="2" t="s">
        <v>140</v>
      </c>
      <c r="Q24" s="2">
        <v>60.339999999999996</v>
      </c>
      <c r="R24" s="2">
        <v>7</v>
      </c>
      <c r="S24" s="2">
        <v>0</v>
      </c>
      <c r="T24" s="4">
        <v>15.688400000000001</v>
      </c>
      <c r="U24">
        <f t="shared" si="0"/>
        <v>4</v>
      </c>
    </row>
    <row r="25" spans="1:21" ht="15.5" x14ac:dyDescent="0.35">
      <c r="A25" s="2" t="s">
        <v>141</v>
      </c>
      <c r="B25" s="3">
        <v>42932</v>
      </c>
      <c r="C25" s="3">
        <v>42934</v>
      </c>
      <c r="D25" s="2" t="s">
        <v>21</v>
      </c>
      <c r="E25" s="2" t="s">
        <v>142</v>
      </c>
      <c r="F25" s="2" t="s">
        <v>143</v>
      </c>
      <c r="G25" s="2" t="s">
        <v>24</v>
      </c>
      <c r="H25" s="2" t="s">
        <v>25</v>
      </c>
      <c r="I25" s="2" t="s">
        <v>144</v>
      </c>
      <c r="J25" s="2" t="s">
        <v>145</v>
      </c>
      <c r="K25" s="2">
        <v>19140</v>
      </c>
      <c r="L25" s="2" t="s">
        <v>146</v>
      </c>
      <c r="M25" s="2" t="s">
        <v>147</v>
      </c>
      <c r="N25" s="2" t="s">
        <v>30</v>
      </c>
      <c r="O25" s="2" t="s">
        <v>34</v>
      </c>
      <c r="P25" s="2" t="s">
        <v>148</v>
      </c>
      <c r="Q25" s="2">
        <v>71.371999999999986</v>
      </c>
      <c r="R25" s="2">
        <v>2</v>
      </c>
      <c r="S25" s="2">
        <v>0.3</v>
      </c>
      <c r="T25" s="4">
        <v>-1.0196000000000005</v>
      </c>
      <c r="U25">
        <f t="shared" si="0"/>
        <v>2</v>
      </c>
    </row>
    <row r="26" spans="1:21" ht="15.5" x14ac:dyDescent="0.35">
      <c r="A26" s="2" t="s">
        <v>149</v>
      </c>
      <c r="B26" s="3">
        <v>42272</v>
      </c>
      <c r="C26" s="3">
        <v>42277</v>
      </c>
      <c r="D26" s="2" t="s">
        <v>48</v>
      </c>
      <c r="E26" s="2" t="s">
        <v>150</v>
      </c>
      <c r="F26" s="2" t="s">
        <v>151</v>
      </c>
      <c r="G26" s="2" t="s">
        <v>24</v>
      </c>
      <c r="H26" s="2" t="s">
        <v>25</v>
      </c>
      <c r="I26" s="2" t="s">
        <v>152</v>
      </c>
      <c r="J26" s="2" t="s">
        <v>119</v>
      </c>
      <c r="K26" s="2">
        <v>84057</v>
      </c>
      <c r="L26" s="2" t="s">
        <v>42</v>
      </c>
      <c r="M26" s="2" t="s">
        <v>53</v>
      </c>
      <c r="N26" s="2" t="s">
        <v>30</v>
      </c>
      <c r="O26" s="2" t="s">
        <v>54</v>
      </c>
      <c r="P26" s="2" t="s">
        <v>55</v>
      </c>
      <c r="Q26" s="2">
        <v>1044.6299999999999</v>
      </c>
      <c r="R26" s="2">
        <v>3</v>
      </c>
      <c r="S26" s="2">
        <v>0</v>
      </c>
      <c r="T26" s="4">
        <v>240.26490000000001</v>
      </c>
      <c r="U26">
        <f t="shared" si="0"/>
        <v>5</v>
      </c>
    </row>
    <row r="27" spans="1:21" ht="15.5" x14ac:dyDescent="0.35">
      <c r="A27" s="2" t="s">
        <v>153</v>
      </c>
      <c r="B27" s="3">
        <v>42385</v>
      </c>
      <c r="C27" s="3">
        <v>42389</v>
      </c>
      <c r="D27" s="2" t="s">
        <v>21</v>
      </c>
      <c r="E27" s="2" t="s">
        <v>154</v>
      </c>
      <c r="F27" s="2" t="s">
        <v>155</v>
      </c>
      <c r="G27" s="2" t="s">
        <v>24</v>
      </c>
      <c r="H27" s="2" t="s">
        <v>25</v>
      </c>
      <c r="I27" s="2" t="s">
        <v>40</v>
      </c>
      <c r="J27" s="2" t="s">
        <v>41</v>
      </c>
      <c r="K27" s="2">
        <v>90049</v>
      </c>
      <c r="L27" s="2" t="s">
        <v>42</v>
      </c>
      <c r="M27" s="2" t="s">
        <v>156</v>
      </c>
      <c r="N27" s="2" t="s">
        <v>44</v>
      </c>
      <c r="O27" s="2" t="s">
        <v>73</v>
      </c>
      <c r="P27" s="2" t="s">
        <v>157</v>
      </c>
      <c r="Q27" s="2">
        <v>11.648000000000001</v>
      </c>
      <c r="R27" s="2">
        <v>2</v>
      </c>
      <c r="S27" s="2">
        <v>0.2</v>
      </c>
      <c r="T27" s="4">
        <v>4.2224000000000004</v>
      </c>
      <c r="U27">
        <f t="shared" si="0"/>
        <v>4</v>
      </c>
    </row>
    <row r="28" spans="1:21" ht="15.5" x14ac:dyDescent="0.35">
      <c r="A28" s="2" t="s">
        <v>153</v>
      </c>
      <c r="B28" s="3">
        <v>42385</v>
      </c>
      <c r="C28" s="3">
        <v>42389</v>
      </c>
      <c r="D28" s="2" t="s">
        <v>21</v>
      </c>
      <c r="E28" s="2" t="s">
        <v>154</v>
      </c>
      <c r="F28" s="2" t="s">
        <v>155</v>
      </c>
      <c r="G28" s="2" t="s">
        <v>24</v>
      </c>
      <c r="H28" s="2" t="s">
        <v>25</v>
      </c>
      <c r="I28" s="2" t="s">
        <v>40</v>
      </c>
      <c r="J28" s="2" t="s">
        <v>41</v>
      </c>
      <c r="K28" s="2">
        <v>90049</v>
      </c>
      <c r="L28" s="2" t="s">
        <v>42</v>
      </c>
      <c r="M28" s="2" t="s">
        <v>158</v>
      </c>
      <c r="N28" s="2" t="s">
        <v>69</v>
      </c>
      <c r="O28" s="2" t="s">
        <v>159</v>
      </c>
      <c r="P28" s="2" t="s">
        <v>160</v>
      </c>
      <c r="Q28" s="2">
        <v>90.570000000000007</v>
      </c>
      <c r="R28" s="2">
        <v>3</v>
      </c>
      <c r="S28" s="2">
        <v>0</v>
      </c>
      <c r="T28" s="4">
        <v>11.774100000000004</v>
      </c>
      <c r="U28">
        <f t="shared" si="0"/>
        <v>4</v>
      </c>
    </row>
    <row r="29" spans="1:21" ht="15.5" x14ac:dyDescent="0.35">
      <c r="A29" s="2" t="s">
        <v>161</v>
      </c>
      <c r="B29" s="3">
        <v>42264</v>
      </c>
      <c r="C29" s="3">
        <v>42268</v>
      </c>
      <c r="D29" s="2" t="s">
        <v>48</v>
      </c>
      <c r="E29" s="2" t="s">
        <v>162</v>
      </c>
      <c r="F29" s="2" t="s">
        <v>163</v>
      </c>
      <c r="G29" s="2" t="s">
        <v>24</v>
      </c>
      <c r="H29" s="2" t="s">
        <v>25</v>
      </c>
      <c r="I29" s="2" t="s">
        <v>144</v>
      </c>
      <c r="J29" s="2" t="s">
        <v>145</v>
      </c>
      <c r="K29" s="2">
        <v>19140</v>
      </c>
      <c r="L29" s="2" t="s">
        <v>146</v>
      </c>
      <c r="M29" s="2" t="s">
        <v>164</v>
      </c>
      <c r="N29" s="2" t="s">
        <v>30</v>
      </c>
      <c r="O29" s="2" t="s">
        <v>31</v>
      </c>
      <c r="P29" s="2" t="s">
        <v>165</v>
      </c>
      <c r="Q29" s="2">
        <v>3083.4300000000003</v>
      </c>
      <c r="R29" s="2">
        <v>7</v>
      </c>
      <c r="S29" s="2">
        <v>0.5</v>
      </c>
      <c r="T29" s="4">
        <v>-1665.0522000000001</v>
      </c>
      <c r="U29">
        <f t="shared" si="0"/>
        <v>4</v>
      </c>
    </row>
    <row r="30" spans="1:21" ht="15.5" x14ac:dyDescent="0.35">
      <c r="A30" s="2" t="s">
        <v>161</v>
      </c>
      <c r="B30" s="3">
        <v>42264</v>
      </c>
      <c r="C30" s="3">
        <v>42268</v>
      </c>
      <c r="D30" s="2" t="s">
        <v>48</v>
      </c>
      <c r="E30" s="2" t="s">
        <v>162</v>
      </c>
      <c r="F30" s="2" t="s">
        <v>163</v>
      </c>
      <c r="G30" s="2" t="s">
        <v>24</v>
      </c>
      <c r="H30" s="2" t="s">
        <v>25</v>
      </c>
      <c r="I30" s="2" t="s">
        <v>144</v>
      </c>
      <c r="J30" s="2" t="s">
        <v>145</v>
      </c>
      <c r="K30" s="2">
        <v>19140</v>
      </c>
      <c r="L30" s="2" t="s">
        <v>146</v>
      </c>
      <c r="M30" s="2" t="s">
        <v>166</v>
      </c>
      <c r="N30" s="2" t="s">
        <v>44</v>
      </c>
      <c r="O30" s="2" t="s">
        <v>73</v>
      </c>
      <c r="P30" s="2" t="s">
        <v>167</v>
      </c>
      <c r="Q30" s="2">
        <v>9.6180000000000021</v>
      </c>
      <c r="R30" s="2">
        <v>2</v>
      </c>
      <c r="S30" s="2">
        <v>0.7</v>
      </c>
      <c r="T30" s="4">
        <v>-7.0532000000000004</v>
      </c>
      <c r="U30">
        <f t="shared" si="0"/>
        <v>4</v>
      </c>
    </row>
    <row r="31" spans="1:21" ht="15.5" x14ac:dyDescent="0.35">
      <c r="A31" s="2" t="s">
        <v>161</v>
      </c>
      <c r="B31" s="3">
        <v>42264</v>
      </c>
      <c r="C31" s="3">
        <v>42268</v>
      </c>
      <c r="D31" s="2" t="s">
        <v>48</v>
      </c>
      <c r="E31" s="2" t="s">
        <v>162</v>
      </c>
      <c r="F31" s="2" t="s">
        <v>163</v>
      </c>
      <c r="G31" s="2" t="s">
        <v>24</v>
      </c>
      <c r="H31" s="2" t="s">
        <v>25</v>
      </c>
      <c r="I31" s="2" t="s">
        <v>144</v>
      </c>
      <c r="J31" s="2" t="s">
        <v>145</v>
      </c>
      <c r="K31" s="2">
        <v>19140</v>
      </c>
      <c r="L31" s="2" t="s">
        <v>146</v>
      </c>
      <c r="M31" s="2" t="s">
        <v>168</v>
      </c>
      <c r="N31" s="2" t="s">
        <v>30</v>
      </c>
      <c r="O31" s="2" t="s">
        <v>63</v>
      </c>
      <c r="P31" s="2" t="s">
        <v>169</v>
      </c>
      <c r="Q31" s="2">
        <v>124.20000000000002</v>
      </c>
      <c r="R31" s="2">
        <v>3</v>
      </c>
      <c r="S31" s="2">
        <v>0.2</v>
      </c>
      <c r="T31" s="4">
        <v>15.524999999999991</v>
      </c>
      <c r="U31">
        <f t="shared" si="0"/>
        <v>4</v>
      </c>
    </row>
    <row r="32" spans="1:21" ht="15.5" x14ac:dyDescent="0.35">
      <c r="A32" s="2" t="s">
        <v>161</v>
      </c>
      <c r="B32" s="3">
        <v>42264</v>
      </c>
      <c r="C32" s="3">
        <v>42268</v>
      </c>
      <c r="D32" s="2" t="s">
        <v>48</v>
      </c>
      <c r="E32" s="2" t="s">
        <v>162</v>
      </c>
      <c r="F32" s="2" t="s">
        <v>163</v>
      </c>
      <c r="G32" s="2" t="s">
        <v>24</v>
      </c>
      <c r="H32" s="2" t="s">
        <v>25</v>
      </c>
      <c r="I32" s="2" t="s">
        <v>144</v>
      </c>
      <c r="J32" s="2" t="s">
        <v>145</v>
      </c>
      <c r="K32" s="2">
        <v>19140</v>
      </c>
      <c r="L32" s="2" t="s">
        <v>146</v>
      </c>
      <c r="M32" s="2" t="s">
        <v>170</v>
      </c>
      <c r="N32" s="2" t="s">
        <v>44</v>
      </c>
      <c r="O32" s="2" t="s">
        <v>171</v>
      </c>
      <c r="P32" s="2" t="s">
        <v>172</v>
      </c>
      <c r="Q32" s="2">
        <v>3.2640000000000002</v>
      </c>
      <c r="R32" s="2">
        <v>2</v>
      </c>
      <c r="S32" s="2">
        <v>0.2</v>
      </c>
      <c r="T32" s="4">
        <v>1.1015999999999997</v>
      </c>
      <c r="U32">
        <f t="shared" si="0"/>
        <v>4</v>
      </c>
    </row>
    <row r="33" spans="1:21" ht="15.5" x14ac:dyDescent="0.35">
      <c r="A33" s="2" t="s">
        <v>161</v>
      </c>
      <c r="B33" s="3">
        <v>42264</v>
      </c>
      <c r="C33" s="3">
        <v>42268</v>
      </c>
      <c r="D33" s="2" t="s">
        <v>48</v>
      </c>
      <c r="E33" s="2" t="s">
        <v>162</v>
      </c>
      <c r="F33" s="2" t="s">
        <v>163</v>
      </c>
      <c r="G33" s="2" t="s">
        <v>24</v>
      </c>
      <c r="H33" s="2" t="s">
        <v>25</v>
      </c>
      <c r="I33" s="2" t="s">
        <v>144</v>
      </c>
      <c r="J33" s="2" t="s">
        <v>145</v>
      </c>
      <c r="K33" s="2">
        <v>19140</v>
      </c>
      <c r="L33" s="2" t="s">
        <v>146</v>
      </c>
      <c r="M33" s="2" t="s">
        <v>173</v>
      </c>
      <c r="N33" s="2" t="s">
        <v>44</v>
      </c>
      <c r="O33" s="2" t="s">
        <v>66</v>
      </c>
      <c r="P33" s="2" t="s">
        <v>174</v>
      </c>
      <c r="Q33" s="2">
        <v>86.304000000000002</v>
      </c>
      <c r="R33" s="2">
        <v>6</v>
      </c>
      <c r="S33" s="2">
        <v>0.2</v>
      </c>
      <c r="T33" s="4">
        <v>9.7091999999999885</v>
      </c>
      <c r="U33">
        <f t="shared" si="0"/>
        <v>4</v>
      </c>
    </row>
    <row r="34" spans="1:21" ht="15.5" x14ac:dyDescent="0.35">
      <c r="A34" s="2" t="s">
        <v>161</v>
      </c>
      <c r="B34" s="3">
        <v>42264</v>
      </c>
      <c r="C34" s="3">
        <v>42268</v>
      </c>
      <c r="D34" s="2" t="s">
        <v>48</v>
      </c>
      <c r="E34" s="2" t="s">
        <v>162</v>
      </c>
      <c r="F34" s="2" t="s">
        <v>163</v>
      </c>
      <c r="G34" s="2" t="s">
        <v>24</v>
      </c>
      <c r="H34" s="2" t="s">
        <v>25</v>
      </c>
      <c r="I34" s="2" t="s">
        <v>144</v>
      </c>
      <c r="J34" s="2" t="s">
        <v>145</v>
      </c>
      <c r="K34" s="2">
        <v>19140</v>
      </c>
      <c r="L34" s="2" t="s">
        <v>146</v>
      </c>
      <c r="M34" s="2" t="s">
        <v>175</v>
      </c>
      <c r="N34" s="2" t="s">
        <v>44</v>
      </c>
      <c r="O34" s="2" t="s">
        <v>73</v>
      </c>
      <c r="P34" s="2" t="s">
        <v>176</v>
      </c>
      <c r="Q34" s="2">
        <v>6.8580000000000014</v>
      </c>
      <c r="R34" s="2">
        <v>6</v>
      </c>
      <c r="S34" s="2">
        <v>0.7</v>
      </c>
      <c r="T34" s="4">
        <v>-5.7149999999999999</v>
      </c>
      <c r="U34">
        <f t="shared" si="0"/>
        <v>4</v>
      </c>
    </row>
    <row r="35" spans="1:21" ht="15.5" x14ac:dyDescent="0.35">
      <c r="A35" s="2" t="s">
        <v>161</v>
      </c>
      <c r="B35" s="3">
        <v>42264</v>
      </c>
      <c r="C35" s="3">
        <v>42268</v>
      </c>
      <c r="D35" s="2" t="s">
        <v>48</v>
      </c>
      <c r="E35" s="2" t="s">
        <v>162</v>
      </c>
      <c r="F35" s="2" t="s">
        <v>163</v>
      </c>
      <c r="G35" s="2" t="s">
        <v>24</v>
      </c>
      <c r="H35" s="2" t="s">
        <v>25</v>
      </c>
      <c r="I35" s="2" t="s">
        <v>144</v>
      </c>
      <c r="J35" s="2" t="s">
        <v>145</v>
      </c>
      <c r="K35" s="2">
        <v>19140</v>
      </c>
      <c r="L35" s="2" t="s">
        <v>146</v>
      </c>
      <c r="M35" s="2" t="s">
        <v>177</v>
      </c>
      <c r="N35" s="2" t="s">
        <v>44</v>
      </c>
      <c r="O35" s="2" t="s">
        <v>66</v>
      </c>
      <c r="P35" s="2" t="s">
        <v>178</v>
      </c>
      <c r="Q35" s="2">
        <v>15.76</v>
      </c>
      <c r="R35" s="2">
        <v>2</v>
      </c>
      <c r="S35" s="2">
        <v>0.2</v>
      </c>
      <c r="T35" s="4">
        <v>3.5460000000000007</v>
      </c>
      <c r="U35">
        <f t="shared" si="0"/>
        <v>4</v>
      </c>
    </row>
    <row r="36" spans="1:21" ht="15.5" x14ac:dyDescent="0.35">
      <c r="A36" s="2" t="s">
        <v>179</v>
      </c>
      <c r="B36" s="3">
        <v>43027</v>
      </c>
      <c r="C36" s="3">
        <v>43031</v>
      </c>
      <c r="D36" s="2" t="s">
        <v>21</v>
      </c>
      <c r="E36" s="2" t="s">
        <v>180</v>
      </c>
      <c r="F36" s="2" t="s">
        <v>181</v>
      </c>
      <c r="G36" s="2" t="s">
        <v>100</v>
      </c>
      <c r="H36" s="2" t="s">
        <v>25</v>
      </c>
      <c r="I36" s="2" t="s">
        <v>182</v>
      </c>
      <c r="J36" s="2" t="s">
        <v>102</v>
      </c>
      <c r="K36" s="2">
        <v>77095</v>
      </c>
      <c r="L36" s="2" t="s">
        <v>103</v>
      </c>
      <c r="M36" s="2" t="s">
        <v>183</v>
      </c>
      <c r="N36" s="2" t="s">
        <v>44</v>
      </c>
      <c r="O36" s="2" t="s">
        <v>88</v>
      </c>
      <c r="P36" s="2" t="s">
        <v>184</v>
      </c>
      <c r="Q36" s="2">
        <v>29.472000000000001</v>
      </c>
      <c r="R36" s="2">
        <v>3</v>
      </c>
      <c r="S36" s="2">
        <v>0.2</v>
      </c>
      <c r="T36" s="4">
        <v>9.9467999999999979</v>
      </c>
      <c r="U36">
        <f t="shared" si="0"/>
        <v>4</v>
      </c>
    </row>
    <row r="37" spans="1:21" ht="15.5" x14ac:dyDescent="0.35">
      <c r="A37" s="2" t="s">
        <v>185</v>
      </c>
      <c r="B37" s="3">
        <v>42712</v>
      </c>
      <c r="C37" s="3">
        <v>42714</v>
      </c>
      <c r="D37" s="2" t="s">
        <v>186</v>
      </c>
      <c r="E37" s="2" t="s">
        <v>187</v>
      </c>
      <c r="F37" s="2" t="s">
        <v>188</v>
      </c>
      <c r="G37" s="2" t="s">
        <v>39</v>
      </c>
      <c r="H37" s="2" t="s">
        <v>25</v>
      </c>
      <c r="I37" s="2" t="s">
        <v>189</v>
      </c>
      <c r="J37" s="2" t="s">
        <v>102</v>
      </c>
      <c r="K37" s="2">
        <v>75080</v>
      </c>
      <c r="L37" s="2" t="s">
        <v>103</v>
      </c>
      <c r="M37" s="2" t="s">
        <v>190</v>
      </c>
      <c r="N37" s="2" t="s">
        <v>69</v>
      </c>
      <c r="O37" s="2" t="s">
        <v>70</v>
      </c>
      <c r="P37" s="2" t="s">
        <v>191</v>
      </c>
      <c r="Q37" s="2">
        <v>1097.5440000000003</v>
      </c>
      <c r="R37" s="2">
        <v>7</v>
      </c>
      <c r="S37" s="2">
        <v>0.2</v>
      </c>
      <c r="T37" s="4">
        <v>123.47369999999989</v>
      </c>
      <c r="U37">
        <f t="shared" si="0"/>
        <v>2</v>
      </c>
    </row>
    <row r="38" spans="1:21" ht="15.5" x14ac:dyDescent="0.35">
      <c r="A38" s="2" t="s">
        <v>185</v>
      </c>
      <c r="B38" s="3">
        <v>42712</v>
      </c>
      <c r="C38" s="3">
        <v>42714</v>
      </c>
      <c r="D38" s="2" t="s">
        <v>186</v>
      </c>
      <c r="E38" s="2" t="s">
        <v>187</v>
      </c>
      <c r="F38" s="2" t="s">
        <v>188</v>
      </c>
      <c r="G38" s="2" t="s">
        <v>39</v>
      </c>
      <c r="H38" s="2" t="s">
        <v>25</v>
      </c>
      <c r="I38" s="2" t="s">
        <v>189</v>
      </c>
      <c r="J38" s="2" t="s">
        <v>102</v>
      </c>
      <c r="K38" s="2">
        <v>75080</v>
      </c>
      <c r="L38" s="2" t="s">
        <v>103</v>
      </c>
      <c r="M38" s="2" t="s">
        <v>192</v>
      </c>
      <c r="N38" s="2" t="s">
        <v>30</v>
      </c>
      <c r="O38" s="2" t="s">
        <v>63</v>
      </c>
      <c r="P38" s="2" t="s">
        <v>193</v>
      </c>
      <c r="Q38" s="2">
        <v>190.92</v>
      </c>
      <c r="R38" s="2">
        <v>5</v>
      </c>
      <c r="S38" s="2">
        <v>0.6</v>
      </c>
      <c r="T38" s="4">
        <v>-147.96300000000002</v>
      </c>
      <c r="U38">
        <f t="shared" si="0"/>
        <v>2</v>
      </c>
    </row>
    <row r="39" spans="1:21" ht="15.5" x14ac:dyDescent="0.35">
      <c r="A39" s="2" t="s">
        <v>194</v>
      </c>
      <c r="B39" s="3">
        <v>42365</v>
      </c>
      <c r="C39" s="3">
        <v>42369</v>
      </c>
      <c r="D39" s="2" t="s">
        <v>48</v>
      </c>
      <c r="E39" s="2" t="s">
        <v>195</v>
      </c>
      <c r="F39" s="2" t="s">
        <v>196</v>
      </c>
      <c r="G39" s="2" t="s">
        <v>100</v>
      </c>
      <c r="H39" s="2" t="s">
        <v>25</v>
      </c>
      <c r="I39" s="2" t="s">
        <v>182</v>
      </c>
      <c r="J39" s="2" t="s">
        <v>102</v>
      </c>
      <c r="K39" s="2">
        <v>77041</v>
      </c>
      <c r="L39" s="2" t="s">
        <v>103</v>
      </c>
      <c r="M39" s="2" t="s">
        <v>197</v>
      </c>
      <c r="N39" s="2" t="s">
        <v>44</v>
      </c>
      <c r="O39" s="2" t="s">
        <v>171</v>
      </c>
      <c r="P39" s="2" t="s">
        <v>198</v>
      </c>
      <c r="Q39" s="2">
        <v>113.328</v>
      </c>
      <c r="R39" s="2">
        <v>9</v>
      </c>
      <c r="S39" s="2">
        <v>0.2</v>
      </c>
      <c r="T39" s="4">
        <v>35.414999999999999</v>
      </c>
      <c r="U39">
        <f t="shared" si="0"/>
        <v>4</v>
      </c>
    </row>
    <row r="40" spans="1:21" ht="15.5" x14ac:dyDescent="0.35">
      <c r="A40" s="2" t="s">
        <v>194</v>
      </c>
      <c r="B40" s="3">
        <v>42365</v>
      </c>
      <c r="C40" s="3">
        <v>42369</v>
      </c>
      <c r="D40" s="2" t="s">
        <v>48</v>
      </c>
      <c r="E40" s="2" t="s">
        <v>195</v>
      </c>
      <c r="F40" s="2" t="s">
        <v>196</v>
      </c>
      <c r="G40" s="2" t="s">
        <v>100</v>
      </c>
      <c r="H40" s="2" t="s">
        <v>25</v>
      </c>
      <c r="I40" s="2" t="s">
        <v>182</v>
      </c>
      <c r="J40" s="2" t="s">
        <v>102</v>
      </c>
      <c r="K40" s="2">
        <v>77041</v>
      </c>
      <c r="L40" s="2" t="s">
        <v>103</v>
      </c>
      <c r="M40" s="2" t="s">
        <v>199</v>
      </c>
      <c r="N40" s="2" t="s">
        <v>30</v>
      </c>
      <c r="O40" s="2" t="s">
        <v>31</v>
      </c>
      <c r="P40" s="2" t="s">
        <v>200</v>
      </c>
      <c r="Q40" s="2">
        <v>532.39919999999995</v>
      </c>
      <c r="R40" s="2">
        <v>3</v>
      </c>
      <c r="S40" s="2">
        <v>0.32</v>
      </c>
      <c r="T40" s="4">
        <v>-46.976400000000012</v>
      </c>
      <c r="U40">
        <f t="shared" si="0"/>
        <v>4</v>
      </c>
    </row>
    <row r="41" spans="1:21" ht="15.5" x14ac:dyDescent="0.35">
      <c r="A41" s="2" t="s">
        <v>194</v>
      </c>
      <c r="B41" s="3">
        <v>42365</v>
      </c>
      <c r="C41" s="3">
        <v>42369</v>
      </c>
      <c r="D41" s="2" t="s">
        <v>48</v>
      </c>
      <c r="E41" s="2" t="s">
        <v>195</v>
      </c>
      <c r="F41" s="2" t="s">
        <v>196</v>
      </c>
      <c r="G41" s="2" t="s">
        <v>100</v>
      </c>
      <c r="H41" s="2" t="s">
        <v>25</v>
      </c>
      <c r="I41" s="2" t="s">
        <v>182</v>
      </c>
      <c r="J41" s="2" t="s">
        <v>102</v>
      </c>
      <c r="K41" s="2">
        <v>77041</v>
      </c>
      <c r="L41" s="2" t="s">
        <v>103</v>
      </c>
      <c r="M41" s="2" t="s">
        <v>201</v>
      </c>
      <c r="N41" s="2" t="s">
        <v>30</v>
      </c>
      <c r="O41" s="2" t="s">
        <v>34</v>
      </c>
      <c r="P41" s="2" t="s">
        <v>202</v>
      </c>
      <c r="Q41" s="2">
        <v>212.05799999999999</v>
      </c>
      <c r="R41" s="2">
        <v>3</v>
      </c>
      <c r="S41" s="2">
        <v>0.3</v>
      </c>
      <c r="T41" s="4">
        <v>-15.146999999999991</v>
      </c>
      <c r="U41">
        <f t="shared" si="0"/>
        <v>4</v>
      </c>
    </row>
    <row r="42" spans="1:21" ht="15.5" x14ac:dyDescent="0.35">
      <c r="A42" s="2" t="s">
        <v>194</v>
      </c>
      <c r="B42" s="3">
        <v>42365</v>
      </c>
      <c r="C42" s="3">
        <v>42369</v>
      </c>
      <c r="D42" s="2" t="s">
        <v>48</v>
      </c>
      <c r="E42" s="2" t="s">
        <v>195</v>
      </c>
      <c r="F42" s="2" t="s">
        <v>196</v>
      </c>
      <c r="G42" s="2" t="s">
        <v>100</v>
      </c>
      <c r="H42" s="2" t="s">
        <v>25</v>
      </c>
      <c r="I42" s="2" t="s">
        <v>182</v>
      </c>
      <c r="J42" s="2" t="s">
        <v>102</v>
      </c>
      <c r="K42" s="2">
        <v>77041</v>
      </c>
      <c r="L42" s="2" t="s">
        <v>103</v>
      </c>
      <c r="M42" s="2" t="s">
        <v>203</v>
      </c>
      <c r="N42" s="2" t="s">
        <v>69</v>
      </c>
      <c r="O42" s="2" t="s">
        <v>70</v>
      </c>
      <c r="P42" s="2" t="s">
        <v>204</v>
      </c>
      <c r="Q42" s="2">
        <v>371.16800000000001</v>
      </c>
      <c r="R42" s="2">
        <v>4</v>
      </c>
      <c r="S42" s="2">
        <v>0.2</v>
      </c>
      <c r="T42" s="4">
        <v>41.756399999999957</v>
      </c>
      <c r="U42">
        <f t="shared" si="0"/>
        <v>4</v>
      </c>
    </row>
    <row r="43" spans="1:21" ht="15.5" x14ac:dyDescent="0.35">
      <c r="A43" s="2" t="s">
        <v>205</v>
      </c>
      <c r="B43" s="3">
        <v>42988</v>
      </c>
      <c r="C43" s="3">
        <v>42993</v>
      </c>
      <c r="D43" s="2" t="s">
        <v>48</v>
      </c>
      <c r="E43" s="2" t="s">
        <v>206</v>
      </c>
      <c r="F43" s="2" t="s">
        <v>207</v>
      </c>
      <c r="G43" s="2" t="s">
        <v>39</v>
      </c>
      <c r="H43" s="2" t="s">
        <v>25</v>
      </c>
      <c r="I43" s="2" t="s">
        <v>208</v>
      </c>
      <c r="J43" s="2" t="s">
        <v>209</v>
      </c>
      <c r="K43" s="2">
        <v>60540</v>
      </c>
      <c r="L43" s="2" t="s">
        <v>103</v>
      </c>
      <c r="M43" s="2" t="s">
        <v>210</v>
      </c>
      <c r="N43" s="2" t="s">
        <v>69</v>
      </c>
      <c r="O43" s="2" t="s">
        <v>70</v>
      </c>
      <c r="P43" s="2" t="s">
        <v>211</v>
      </c>
      <c r="Q43" s="2">
        <v>147.16800000000001</v>
      </c>
      <c r="R43" s="2">
        <v>4</v>
      </c>
      <c r="S43" s="2">
        <v>0.2</v>
      </c>
      <c r="T43" s="4">
        <v>16.556399999999996</v>
      </c>
      <c r="U43">
        <f t="shared" si="0"/>
        <v>5</v>
      </c>
    </row>
    <row r="44" spans="1:21" ht="15.5" x14ac:dyDescent="0.35">
      <c r="A44" s="2" t="s">
        <v>212</v>
      </c>
      <c r="B44" s="3">
        <v>42568</v>
      </c>
      <c r="C44" s="3">
        <v>42573</v>
      </c>
      <c r="D44" s="2" t="s">
        <v>48</v>
      </c>
      <c r="E44" s="2" t="s">
        <v>213</v>
      </c>
      <c r="F44" s="2" t="s">
        <v>214</v>
      </c>
      <c r="G44" s="2" t="s">
        <v>39</v>
      </c>
      <c r="H44" s="2" t="s">
        <v>25</v>
      </c>
      <c r="I44" s="2" t="s">
        <v>40</v>
      </c>
      <c r="J44" s="2" t="s">
        <v>41</v>
      </c>
      <c r="K44" s="2">
        <v>90049</v>
      </c>
      <c r="L44" s="2" t="s">
        <v>42</v>
      </c>
      <c r="M44" s="2" t="s">
        <v>215</v>
      </c>
      <c r="N44" s="2" t="s">
        <v>44</v>
      </c>
      <c r="O44" s="2" t="s">
        <v>57</v>
      </c>
      <c r="P44" s="2" t="s">
        <v>216</v>
      </c>
      <c r="Q44" s="2">
        <v>77.88</v>
      </c>
      <c r="R44" s="2">
        <v>2</v>
      </c>
      <c r="S44" s="2">
        <v>0</v>
      </c>
      <c r="T44" s="4">
        <v>3.8939999999999912</v>
      </c>
      <c r="U44">
        <f t="shared" si="0"/>
        <v>5</v>
      </c>
    </row>
    <row r="45" spans="1:21" ht="15.5" x14ac:dyDescent="0.35">
      <c r="A45" s="2" t="s">
        <v>217</v>
      </c>
      <c r="B45" s="3">
        <v>42997</v>
      </c>
      <c r="C45" s="3">
        <v>43001</v>
      </c>
      <c r="D45" s="2" t="s">
        <v>48</v>
      </c>
      <c r="E45" s="2" t="s">
        <v>218</v>
      </c>
      <c r="F45" s="2" t="s">
        <v>219</v>
      </c>
      <c r="G45" s="2" t="s">
        <v>39</v>
      </c>
      <c r="H45" s="2" t="s">
        <v>25</v>
      </c>
      <c r="I45" s="2" t="s">
        <v>220</v>
      </c>
      <c r="J45" s="2" t="s">
        <v>52</v>
      </c>
      <c r="K45" s="2">
        <v>32935</v>
      </c>
      <c r="L45" s="2" t="s">
        <v>28</v>
      </c>
      <c r="M45" s="2" t="s">
        <v>221</v>
      </c>
      <c r="N45" s="2" t="s">
        <v>44</v>
      </c>
      <c r="O45" s="2" t="s">
        <v>57</v>
      </c>
      <c r="P45" s="2" t="s">
        <v>222</v>
      </c>
      <c r="Q45" s="2">
        <v>95.616</v>
      </c>
      <c r="R45" s="2">
        <v>2</v>
      </c>
      <c r="S45" s="2">
        <v>0.2</v>
      </c>
      <c r="T45" s="4">
        <v>9.5616000000000092</v>
      </c>
      <c r="U45">
        <f t="shared" si="0"/>
        <v>4</v>
      </c>
    </row>
    <row r="46" spans="1:21" ht="15.5" x14ac:dyDescent="0.35">
      <c r="A46" s="2" t="s">
        <v>223</v>
      </c>
      <c r="B46" s="3">
        <v>42440</v>
      </c>
      <c r="C46" s="3">
        <v>42442</v>
      </c>
      <c r="D46" s="2" t="s">
        <v>186</v>
      </c>
      <c r="E46" s="2" t="s">
        <v>224</v>
      </c>
      <c r="F46" s="2" t="s">
        <v>225</v>
      </c>
      <c r="G46" s="2" t="s">
        <v>39</v>
      </c>
      <c r="H46" s="2" t="s">
        <v>25</v>
      </c>
      <c r="I46" s="2" t="s">
        <v>226</v>
      </c>
      <c r="J46" s="2" t="s">
        <v>227</v>
      </c>
      <c r="K46" s="2">
        <v>55122</v>
      </c>
      <c r="L46" s="2" t="s">
        <v>103</v>
      </c>
      <c r="M46" s="2" t="s">
        <v>228</v>
      </c>
      <c r="N46" s="2" t="s">
        <v>69</v>
      </c>
      <c r="O46" s="2" t="s">
        <v>159</v>
      </c>
      <c r="P46" s="2" t="s">
        <v>229</v>
      </c>
      <c r="Q46" s="2">
        <v>45.98</v>
      </c>
      <c r="R46" s="2">
        <v>2</v>
      </c>
      <c r="S46" s="2">
        <v>0</v>
      </c>
      <c r="T46" s="4">
        <v>19.7714</v>
      </c>
      <c r="U46">
        <f t="shared" si="0"/>
        <v>2</v>
      </c>
    </row>
    <row r="47" spans="1:21" ht="15.5" x14ac:dyDescent="0.35">
      <c r="A47" s="2" t="s">
        <v>223</v>
      </c>
      <c r="B47" s="3">
        <v>42440</v>
      </c>
      <c r="C47" s="3">
        <v>42442</v>
      </c>
      <c r="D47" s="2" t="s">
        <v>186</v>
      </c>
      <c r="E47" s="2" t="s">
        <v>224</v>
      </c>
      <c r="F47" s="2" t="s">
        <v>225</v>
      </c>
      <c r="G47" s="2" t="s">
        <v>39</v>
      </c>
      <c r="H47" s="2" t="s">
        <v>25</v>
      </c>
      <c r="I47" s="2" t="s">
        <v>226</v>
      </c>
      <c r="J47" s="2" t="s">
        <v>227</v>
      </c>
      <c r="K47" s="2">
        <v>55122</v>
      </c>
      <c r="L47" s="2" t="s">
        <v>103</v>
      </c>
      <c r="M47" s="2" t="s">
        <v>230</v>
      </c>
      <c r="N47" s="2" t="s">
        <v>44</v>
      </c>
      <c r="O47" s="2" t="s">
        <v>73</v>
      </c>
      <c r="P47" s="2" t="s">
        <v>231</v>
      </c>
      <c r="Q47" s="2">
        <v>17.46</v>
      </c>
      <c r="R47" s="2">
        <v>2</v>
      </c>
      <c r="S47" s="2">
        <v>0</v>
      </c>
      <c r="T47" s="4">
        <v>8.2061999999999991</v>
      </c>
      <c r="U47">
        <f t="shared" si="0"/>
        <v>2</v>
      </c>
    </row>
    <row r="48" spans="1:21" ht="15.5" x14ac:dyDescent="0.35">
      <c r="A48" s="2" t="s">
        <v>232</v>
      </c>
      <c r="B48" s="3">
        <v>41932</v>
      </c>
      <c r="C48" s="3">
        <v>41937</v>
      </c>
      <c r="D48" s="2" t="s">
        <v>21</v>
      </c>
      <c r="E48" s="2" t="s">
        <v>233</v>
      </c>
      <c r="F48" s="2" t="s">
        <v>234</v>
      </c>
      <c r="G48" s="2" t="s">
        <v>24</v>
      </c>
      <c r="H48" s="2" t="s">
        <v>25</v>
      </c>
      <c r="I48" s="2" t="s">
        <v>235</v>
      </c>
      <c r="J48" s="2" t="s">
        <v>236</v>
      </c>
      <c r="K48" s="2">
        <v>48185</v>
      </c>
      <c r="L48" s="2" t="s">
        <v>103</v>
      </c>
      <c r="M48" s="2" t="s">
        <v>237</v>
      </c>
      <c r="N48" s="2" t="s">
        <v>44</v>
      </c>
      <c r="O48" s="2" t="s">
        <v>57</v>
      </c>
      <c r="P48" s="2" t="s">
        <v>238</v>
      </c>
      <c r="Q48" s="2">
        <v>211.96</v>
      </c>
      <c r="R48" s="2">
        <v>4</v>
      </c>
      <c r="S48" s="2">
        <v>0</v>
      </c>
      <c r="T48" s="4">
        <v>8.4783999999999935</v>
      </c>
      <c r="U48">
        <f t="shared" si="0"/>
        <v>5</v>
      </c>
    </row>
    <row r="49" spans="1:21" ht="15.5" x14ac:dyDescent="0.35">
      <c r="A49" s="2" t="s">
        <v>239</v>
      </c>
      <c r="B49" s="3">
        <v>42541</v>
      </c>
      <c r="C49" s="3">
        <v>42546</v>
      </c>
      <c r="D49" s="2" t="s">
        <v>48</v>
      </c>
      <c r="E49" s="2" t="s">
        <v>240</v>
      </c>
      <c r="F49" s="2" t="s">
        <v>241</v>
      </c>
      <c r="G49" s="2" t="s">
        <v>24</v>
      </c>
      <c r="H49" s="2" t="s">
        <v>25</v>
      </c>
      <c r="I49" s="2" t="s">
        <v>242</v>
      </c>
      <c r="J49" s="2" t="s">
        <v>243</v>
      </c>
      <c r="K49" s="2">
        <v>19901</v>
      </c>
      <c r="L49" s="2" t="s">
        <v>146</v>
      </c>
      <c r="M49" s="2" t="s">
        <v>244</v>
      </c>
      <c r="N49" s="2" t="s">
        <v>69</v>
      </c>
      <c r="O49" s="2" t="s">
        <v>159</v>
      </c>
      <c r="P49" s="2" t="s">
        <v>245</v>
      </c>
      <c r="Q49" s="2">
        <v>45</v>
      </c>
      <c r="R49" s="2">
        <v>3</v>
      </c>
      <c r="S49" s="2">
        <v>0</v>
      </c>
      <c r="T49" s="4">
        <v>4.9500000000000011</v>
      </c>
      <c r="U49">
        <f t="shared" si="0"/>
        <v>5</v>
      </c>
    </row>
    <row r="50" spans="1:21" ht="15.5" x14ac:dyDescent="0.35">
      <c r="A50" s="2" t="s">
        <v>239</v>
      </c>
      <c r="B50" s="3">
        <v>42541</v>
      </c>
      <c r="C50" s="3">
        <v>42546</v>
      </c>
      <c r="D50" s="2" t="s">
        <v>48</v>
      </c>
      <c r="E50" s="2" t="s">
        <v>240</v>
      </c>
      <c r="F50" s="2" t="s">
        <v>241</v>
      </c>
      <c r="G50" s="2" t="s">
        <v>24</v>
      </c>
      <c r="H50" s="2" t="s">
        <v>25</v>
      </c>
      <c r="I50" s="2" t="s">
        <v>242</v>
      </c>
      <c r="J50" s="2" t="s">
        <v>243</v>
      </c>
      <c r="K50" s="2">
        <v>19901</v>
      </c>
      <c r="L50" s="2" t="s">
        <v>146</v>
      </c>
      <c r="M50" s="2" t="s">
        <v>246</v>
      </c>
      <c r="N50" s="2" t="s">
        <v>69</v>
      </c>
      <c r="O50" s="2" t="s">
        <v>70</v>
      </c>
      <c r="P50" s="2" t="s">
        <v>247</v>
      </c>
      <c r="Q50" s="2">
        <v>21.8</v>
      </c>
      <c r="R50" s="2">
        <v>2</v>
      </c>
      <c r="S50" s="2">
        <v>0</v>
      </c>
      <c r="T50" s="4">
        <v>6.104000000000001</v>
      </c>
      <c r="U50">
        <f t="shared" si="0"/>
        <v>5</v>
      </c>
    </row>
    <row r="51" spans="1:21" ht="15.5" x14ac:dyDescent="0.35">
      <c r="A51" s="2" t="s">
        <v>248</v>
      </c>
      <c r="B51" s="3">
        <v>42112</v>
      </c>
      <c r="C51" s="3">
        <v>42116</v>
      </c>
      <c r="D51" s="2" t="s">
        <v>48</v>
      </c>
      <c r="E51" s="2" t="s">
        <v>249</v>
      </c>
      <c r="F51" s="2" t="s">
        <v>250</v>
      </c>
      <c r="G51" s="2" t="s">
        <v>24</v>
      </c>
      <c r="H51" s="2" t="s">
        <v>25</v>
      </c>
      <c r="I51" s="2" t="s">
        <v>251</v>
      </c>
      <c r="J51" s="2" t="s">
        <v>252</v>
      </c>
      <c r="K51" s="2">
        <v>47150</v>
      </c>
      <c r="L51" s="2" t="s">
        <v>103</v>
      </c>
      <c r="M51" s="2" t="s">
        <v>253</v>
      </c>
      <c r="N51" s="2" t="s">
        <v>44</v>
      </c>
      <c r="O51" s="2" t="s">
        <v>73</v>
      </c>
      <c r="P51" s="2" t="s">
        <v>254</v>
      </c>
      <c r="Q51" s="2">
        <v>38.22</v>
      </c>
      <c r="R51" s="2">
        <v>6</v>
      </c>
      <c r="S51" s="2">
        <v>0</v>
      </c>
      <c r="T51" s="4">
        <v>17.9634</v>
      </c>
      <c r="U51">
        <f t="shared" si="0"/>
        <v>4</v>
      </c>
    </row>
    <row r="52" spans="1:21" ht="15.5" x14ac:dyDescent="0.35">
      <c r="A52" s="2" t="s">
        <v>248</v>
      </c>
      <c r="B52" s="3">
        <v>42112</v>
      </c>
      <c r="C52" s="3">
        <v>42116</v>
      </c>
      <c r="D52" s="2" t="s">
        <v>48</v>
      </c>
      <c r="E52" s="2" t="s">
        <v>249</v>
      </c>
      <c r="F52" s="2" t="s">
        <v>250</v>
      </c>
      <c r="G52" s="2" t="s">
        <v>24</v>
      </c>
      <c r="H52" s="2" t="s">
        <v>25</v>
      </c>
      <c r="I52" s="2" t="s">
        <v>251</v>
      </c>
      <c r="J52" s="2" t="s">
        <v>252</v>
      </c>
      <c r="K52" s="2">
        <v>47150</v>
      </c>
      <c r="L52" s="2" t="s">
        <v>103</v>
      </c>
      <c r="M52" s="2" t="s">
        <v>255</v>
      </c>
      <c r="N52" s="2" t="s">
        <v>44</v>
      </c>
      <c r="O52" s="2" t="s">
        <v>45</v>
      </c>
      <c r="P52" s="2" t="s">
        <v>256</v>
      </c>
      <c r="Q52" s="2">
        <v>75.179999999999993</v>
      </c>
      <c r="R52" s="2">
        <v>6</v>
      </c>
      <c r="S52" s="2">
        <v>0</v>
      </c>
      <c r="T52" s="4">
        <v>35.334599999999995</v>
      </c>
      <c r="U52">
        <f t="shared" si="0"/>
        <v>4</v>
      </c>
    </row>
    <row r="53" spans="1:21" ht="15.5" x14ac:dyDescent="0.35">
      <c r="A53" s="2" t="s">
        <v>248</v>
      </c>
      <c r="B53" s="3">
        <v>42112</v>
      </c>
      <c r="C53" s="3">
        <v>42116</v>
      </c>
      <c r="D53" s="2" t="s">
        <v>48</v>
      </c>
      <c r="E53" s="2" t="s">
        <v>249</v>
      </c>
      <c r="F53" s="2" t="s">
        <v>250</v>
      </c>
      <c r="G53" s="2" t="s">
        <v>24</v>
      </c>
      <c r="H53" s="2" t="s">
        <v>25</v>
      </c>
      <c r="I53" s="2" t="s">
        <v>251</v>
      </c>
      <c r="J53" s="2" t="s">
        <v>252</v>
      </c>
      <c r="K53" s="2">
        <v>47150</v>
      </c>
      <c r="L53" s="2" t="s">
        <v>103</v>
      </c>
      <c r="M53" s="2" t="s">
        <v>257</v>
      </c>
      <c r="N53" s="2" t="s">
        <v>30</v>
      </c>
      <c r="O53" s="2" t="s">
        <v>63</v>
      </c>
      <c r="P53" s="2" t="s">
        <v>258</v>
      </c>
      <c r="Q53" s="2">
        <v>6.16</v>
      </c>
      <c r="R53" s="2">
        <v>2</v>
      </c>
      <c r="S53" s="2">
        <v>0</v>
      </c>
      <c r="T53" s="4">
        <v>2.9567999999999999</v>
      </c>
      <c r="U53">
        <f t="shared" si="0"/>
        <v>4</v>
      </c>
    </row>
    <row r="54" spans="1:21" ht="15.5" x14ac:dyDescent="0.35">
      <c r="A54" s="2" t="s">
        <v>248</v>
      </c>
      <c r="B54" s="3">
        <v>42112</v>
      </c>
      <c r="C54" s="3">
        <v>42116</v>
      </c>
      <c r="D54" s="2" t="s">
        <v>48</v>
      </c>
      <c r="E54" s="2" t="s">
        <v>249</v>
      </c>
      <c r="F54" s="2" t="s">
        <v>250</v>
      </c>
      <c r="G54" s="2" t="s">
        <v>24</v>
      </c>
      <c r="H54" s="2" t="s">
        <v>25</v>
      </c>
      <c r="I54" s="2" t="s">
        <v>251</v>
      </c>
      <c r="J54" s="2" t="s">
        <v>252</v>
      </c>
      <c r="K54" s="2">
        <v>47150</v>
      </c>
      <c r="L54" s="2" t="s">
        <v>103</v>
      </c>
      <c r="M54" s="2" t="s">
        <v>259</v>
      </c>
      <c r="N54" s="2" t="s">
        <v>30</v>
      </c>
      <c r="O54" s="2" t="s">
        <v>34</v>
      </c>
      <c r="P54" s="2" t="s">
        <v>260</v>
      </c>
      <c r="Q54" s="2">
        <v>89.99</v>
      </c>
      <c r="R54" s="2">
        <v>1</v>
      </c>
      <c r="S54" s="2">
        <v>0</v>
      </c>
      <c r="T54" s="4">
        <v>17.098099999999988</v>
      </c>
      <c r="U54">
        <f t="shared" si="0"/>
        <v>4</v>
      </c>
    </row>
    <row r="55" spans="1:21" ht="15.5" x14ac:dyDescent="0.35">
      <c r="A55" s="2" t="s">
        <v>261</v>
      </c>
      <c r="B55" s="3">
        <v>42715</v>
      </c>
      <c r="C55" s="3">
        <v>42721</v>
      </c>
      <c r="D55" s="2" t="s">
        <v>48</v>
      </c>
      <c r="E55" s="2" t="s">
        <v>262</v>
      </c>
      <c r="F55" s="2" t="s">
        <v>263</v>
      </c>
      <c r="G55" s="2" t="s">
        <v>39</v>
      </c>
      <c r="H55" s="2" t="s">
        <v>25</v>
      </c>
      <c r="I55" s="2" t="s">
        <v>264</v>
      </c>
      <c r="J55" s="2" t="s">
        <v>265</v>
      </c>
      <c r="K55" s="2">
        <v>10024</v>
      </c>
      <c r="L55" s="2" t="s">
        <v>146</v>
      </c>
      <c r="M55" s="2" t="s">
        <v>266</v>
      </c>
      <c r="N55" s="2" t="s">
        <v>44</v>
      </c>
      <c r="O55" s="2" t="s">
        <v>267</v>
      </c>
      <c r="P55" s="2" t="s">
        <v>268</v>
      </c>
      <c r="Q55" s="2">
        <v>15.260000000000002</v>
      </c>
      <c r="R55" s="2">
        <v>7</v>
      </c>
      <c r="S55" s="2">
        <v>0</v>
      </c>
      <c r="T55" s="4">
        <v>6.2566000000000006</v>
      </c>
      <c r="U55">
        <f t="shared" si="0"/>
        <v>6</v>
      </c>
    </row>
    <row r="56" spans="1:21" ht="15.5" x14ac:dyDescent="0.35">
      <c r="A56" s="2" t="s">
        <v>261</v>
      </c>
      <c r="B56" s="3">
        <v>42715</v>
      </c>
      <c r="C56" s="3">
        <v>42721</v>
      </c>
      <c r="D56" s="2" t="s">
        <v>48</v>
      </c>
      <c r="E56" s="2" t="s">
        <v>262</v>
      </c>
      <c r="F56" s="2" t="s">
        <v>263</v>
      </c>
      <c r="G56" s="2" t="s">
        <v>39</v>
      </c>
      <c r="H56" s="2" t="s">
        <v>25</v>
      </c>
      <c r="I56" s="2" t="s">
        <v>264</v>
      </c>
      <c r="J56" s="2" t="s">
        <v>265</v>
      </c>
      <c r="K56" s="2">
        <v>10024</v>
      </c>
      <c r="L56" s="2" t="s">
        <v>146</v>
      </c>
      <c r="M56" s="2" t="s">
        <v>269</v>
      </c>
      <c r="N56" s="2" t="s">
        <v>69</v>
      </c>
      <c r="O56" s="2" t="s">
        <v>70</v>
      </c>
      <c r="P56" s="2" t="s">
        <v>270</v>
      </c>
      <c r="Q56" s="2">
        <v>1029.95</v>
      </c>
      <c r="R56" s="2">
        <v>5</v>
      </c>
      <c r="S56" s="2">
        <v>0</v>
      </c>
      <c r="T56" s="4">
        <v>298.68549999999999</v>
      </c>
      <c r="U56">
        <f t="shared" si="0"/>
        <v>6</v>
      </c>
    </row>
    <row r="57" spans="1:21" ht="15.5" x14ac:dyDescent="0.35">
      <c r="A57" s="2" t="s">
        <v>271</v>
      </c>
      <c r="B57" s="3">
        <v>42538</v>
      </c>
      <c r="C57" s="3">
        <v>42539</v>
      </c>
      <c r="D57" s="2" t="s">
        <v>186</v>
      </c>
      <c r="E57" s="2" t="s">
        <v>272</v>
      </c>
      <c r="F57" s="2" t="s">
        <v>273</v>
      </c>
      <c r="G57" s="2" t="s">
        <v>24</v>
      </c>
      <c r="H57" s="2" t="s">
        <v>25</v>
      </c>
      <c r="I57" s="2" t="s">
        <v>274</v>
      </c>
      <c r="J57" s="2" t="s">
        <v>265</v>
      </c>
      <c r="K57" s="2">
        <v>12180</v>
      </c>
      <c r="L57" s="2" t="s">
        <v>146</v>
      </c>
      <c r="M57" s="2" t="s">
        <v>275</v>
      </c>
      <c r="N57" s="2" t="s">
        <v>44</v>
      </c>
      <c r="O57" s="2" t="s">
        <v>57</v>
      </c>
      <c r="P57" s="2" t="s">
        <v>276</v>
      </c>
      <c r="Q57" s="2">
        <v>208.56</v>
      </c>
      <c r="R57" s="2">
        <v>6</v>
      </c>
      <c r="S57" s="2">
        <v>0</v>
      </c>
      <c r="T57" s="4">
        <v>52.139999999999986</v>
      </c>
      <c r="U57">
        <f t="shared" si="0"/>
        <v>1</v>
      </c>
    </row>
    <row r="58" spans="1:21" ht="15.5" x14ac:dyDescent="0.35">
      <c r="A58" s="2" t="s">
        <v>271</v>
      </c>
      <c r="B58" s="3">
        <v>42538</v>
      </c>
      <c r="C58" s="3">
        <v>42539</v>
      </c>
      <c r="D58" s="2" t="s">
        <v>186</v>
      </c>
      <c r="E58" s="2" t="s">
        <v>272</v>
      </c>
      <c r="F58" s="2" t="s">
        <v>273</v>
      </c>
      <c r="G58" s="2" t="s">
        <v>24</v>
      </c>
      <c r="H58" s="2" t="s">
        <v>25</v>
      </c>
      <c r="I58" s="2" t="s">
        <v>274</v>
      </c>
      <c r="J58" s="2" t="s">
        <v>265</v>
      </c>
      <c r="K58" s="2">
        <v>12180</v>
      </c>
      <c r="L58" s="2" t="s">
        <v>146</v>
      </c>
      <c r="M58" s="2" t="s">
        <v>277</v>
      </c>
      <c r="N58" s="2" t="s">
        <v>44</v>
      </c>
      <c r="O58" s="2" t="s">
        <v>88</v>
      </c>
      <c r="P58" s="2" t="s">
        <v>278</v>
      </c>
      <c r="Q58" s="2">
        <v>32.400000000000006</v>
      </c>
      <c r="R58" s="2">
        <v>5</v>
      </c>
      <c r="S58" s="2">
        <v>0</v>
      </c>
      <c r="T58" s="4">
        <v>15.552000000000001</v>
      </c>
      <c r="U58">
        <f t="shared" si="0"/>
        <v>1</v>
      </c>
    </row>
    <row r="59" spans="1:21" ht="15.5" x14ac:dyDescent="0.35">
      <c r="A59" s="2" t="s">
        <v>271</v>
      </c>
      <c r="B59" s="3">
        <v>42538</v>
      </c>
      <c r="C59" s="3">
        <v>42539</v>
      </c>
      <c r="D59" s="2" t="s">
        <v>186</v>
      </c>
      <c r="E59" s="2" t="s">
        <v>272</v>
      </c>
      <c r="F59" s="2" t="s">
        <v>273</v>
      </c>
      <c r="G59" s="2" t="s">
        <v>24</v>
      </c>
      <c r="H59" s="2" t="s">
        <v>25</v>
      </c>
      <c r="I59" s="2" t="s">
        <v>274</v>
      </c>
      <c r="J59" s="2" t="s">
        <v>265</v>
      </c>
      <c r="K59" s="2">
        <v>12180</v>
      </c>
      <c r="L59" s="2" t="s">
        <v>146</v>
      </c>
      <c r="M59" s="2" t="s">
        <v>279</v>
      </c>
      <c r="N59" s="2" t="s">
        <v>30</v>
      </c>
      <c r="O59" s="2" t="s">
        <v>34</v>
      </c>
      <c r="P59" s="2" t="s">
        <v>280</v>
      </c>
      <c r="Q59" s="2">
        <v>319.41000000000003</v>
      </c>
      <c r="R59" s="2">
        <v>5</v>
      </c>
      <c r="S59" s="2">
        <v>0.1</v>
      </c>
      <c r="T59" s="4">
        <v>7.0980000000000061</v>
      </c>
      <c r="U59">
        <f t="shared" si="0"/>
        <v>1</v>
      </c>
    </row>
    <row r="60" spans="1:21" ht="15.5" x14ac:dyDescent="0.35">
      <c r="A60" s="2" t="s">
        <v>271</v>
      </c>
      <c r="B60" s="3">
        <v>42538</v>
      </c>
      <c r="C60" s="3">
        <v>42539</v>
      </c>
      <c r="D60" s="2" t="s">
        <v>186</v>
      </c>
      <c r="E60" s="2" t="s">
        <v>272</v>
      </c>
      <c r="F60" s="2" t="s">
        <v>273</v>
      </c>
      <c r="G60" s="2" t="s">
        <v>24</v>
      </c>
      <c r="H60" s="2" t="s">
        <v>25</v>
      </c>
      <c r="I60" s="2" t="s">
        <v>274</v>
      </c>
      <c r="J60" s="2" t="s">
        <v>265</v>
      </c>
      <c r="K60" s="2">
        <v>12180</v>
      </c>
      <c r="L60" s="2" t="s">
        <v>146</v>
      </c>
      <c r="M60" s="2" t="s">
        <v>281</v>
      </c>
      <c r="N60" s="2" t="s">
        <v>44</v>
      </c>
      <c r="O60" s="2" t="s">
        <v>88</v>
      </c>
      <c r="P60" s="2" t="s">
        <v>282</v>
      </c>
      <c r="Q60" s="2">
        <v>14.56</v>
      </c>
      <c r="R60" s="2">
        <v>2</v>
      </c>
      <c r="S60" s="2">
        <v>0</v>
      </c>
      <c r="T60" s="4">
        <v>6.9888000000000003</v>
      </c>
      <c r="U60">
        <f t="shared" si="0"/>
        <v>1</v>
      </c>
    </row>
    <row r="61" spans="1:21" ht="15.5" x14ac:dyDescent="0.35">
      <c r="A61" s="2" t="s">
        <v>271</v>
      </c>
      <c r="B61" s="3">
        <v>42538</v>
      </c>
      <c r="C61" s="3">
        <v>42539</v>
      </c>
      <c r="D61" s="2" t="s">
        <v>186</v>
      </c>
      <c r="E61" s="2" t="s">
        <v>272</v>
      </c>
      <c r="F61" s="2" t="s">
        <v>273</v>
      </c>
      <c r="G61" s="2" t="s">
        <v>24</v>
      </c>
      <c r="H61" s="2" t="s">
        <v>25</v>
      </c>
      <c r="I61" s="2" t="s">
        <v>274</v>
      </c>
      <c r="J61" s="2" t="s">
        <v>265</v>
      </c>
      <c r="K61" s="2">
        <v>12180</v>
      </c>
      <c r="L61" s="2" t="s">
        <v>146</v>
      </c>
      <c r="M61" s="2" t="s">
        <v>244</v>
      </c>
      <c r="N61" s="2" t="s">
        <v>69</v>
      </c>
      <c r="O61" s="2" t="s">
        <v>159</v>
      </c>
      <c r="P61" s="2" t="s">
        <v>245</v>
      </c>
      <c r="Q61" s="2">
        <v>30</v>
      </c>
      <c r="R61" s="2">
        <v>2</v>
      </c>
      <c r="S61" s="2">
        <v>0</v>
      </c>
      <c r="T61" s="4">
        <v>3.3000000000000007</v>
      </c>
      <c r="U61">
        <f t="shared" si="0"/>
        <v>1</v>
      </c>
    </row>
    <row r="62" spans="1:21" ht="15.5" x14ac:dyDescent="0.35">
      <c r="A62" s="2" t="s">
        <v>271</v>
      </c>
      <c r="B62" s="3">
        <v>42538</v>
      </c>
      <c r="C62" s="3">
        <v>42539</v>
      </c>
      <c r="D62" s="2" t="s">
        <v>186</v>
      </c>
      <c r="E62" s="2" t="s">
        <v>272</v>
      </c>
      <c r="F62" s="2" t="s">
        <v>273</v>
      </c>
      <c r="G62" s="2" t="s">
        <v>24</v>
      </c>
      <c r="H62" s="2" t="s">
        <v>25</v>
      </c>
      <c r="I62" s="2" t="s">
        <v>274</v>
      </c>
      <c r="J62" s="2" t="s">
        <v>265</v>
      </c>
      <c r="K62" s="2">
        <v>12180</v>
      </c>
      <c r="L62" s="2" t="s">
        <v>146</v>
      </c>
      <c r="M62" s="2" t="s">
        <v>283</v>
      </c>
      <c r="N62" s="2" t="s">
        <v>44</v>
      </c>
      <c r="O62" s="2" t="s">
        <v>73</v>
      </c>
      <c r="P62" s="2" t="s">
        <v>284</v>
      </c>
      <c r="Q62" s="2">
        <v>48.480000000000004</v>
      </c>
      <c r="R62" s="2">
        <v>4</v>
      </c>
      <c r="S62" s="2">
        <v>0.2</v>
      </c>
      <c r="T62" s="4">
        <v>16.361999999999998</v>
      </c>
      <c r="U62">
        <f t="shared" si="0"/>
        <v>1</v>
      </c>
    </row>
    <row r="63" spans="1:21" ht="15.5" x14ac:dyDescent="0.35">
      <c r="A63" s="2" t="s">
        <v>271</v>
      </c>
      <c r="B63" s="3">
        <v>42538</v>
      </c>
      <c r="C63" s="3">
        <v>42539</v>
      </c>
      <c r="D63" s="2" t="s">
        <v>186</v>
      </c>
      <c r="E63" s="2" t="s">
        <v>272</v>
      </c>
      <c r="F63" s="2" t="s">
        <v>273</v>
      </c>
      <c r="G63" s="2" t="s">
        <v>24</v>
      </c>
      <c r="H63" s="2" t="s">
        <v>25</v>
      </c>
      <c r="I63" s="2" t="s">
        <v>274</v>
      </c>
      <c r="J63" s="2" t="s">
        <v>265</v>
      </c>
      <c r="K63" s="2">
        <v>12180</v>
      </c>
      <c r="L63" s="2" t="s">
        <v>146</v>
      </c>
      <c r="M63" s="2" t="s">
        <v>285</v>
      </c>
      <c r="N63" s="2" t="s">
        <v>44</v>
      </c>
      <c r="O63" s="2" t="s">
        <v>66</v>
      </c>
      <c r="P63" s="2" t="s">
        <v>286</v>
      </c>
      <c r="Q63" s="2">
        <v>1.68</v>
      </c>
      <c r="R63" s="2">
        <v>1</v>
      </c>
      <c r="S63" s="2">
        <v>0</v>
      </c>
      <c r="T63" s="4">
        <v>0.84</v>
      </c>
      <c r="U63">
        <f t="shared" si="0"/>
        <v>1</v>
      </c>
    </row>
    <row r="64" spans="1:21" ht="15.5" x14ac:dyDescent="0.35">
      <c r="A64" s="2" t="s">
        <v>287</v>
      </c>
      <c r="B64" s="3">
        <v>42332</v>
      </c>
      <c r="C64" s="3">
        <v>42338</v>
      </c>
      <c r="D64" s="2" t="s">
        <v>48</v>
      </c>
      <c r="E64" s="2" t="s">
        <v>288</v>
      </c>
      <c r="F64" s="2" t="s">
        <v>289</v>
      </c>
      <c r="G64" s="2" t="s">
        <v>24</v>
      </c>
      <c r="H64" s="2" t="s">
        <v>25</v>
      </c>
      <c r="I64" s="2" t="s">
        <v>40</v>
      </c>
      <c r="J64" s="2" t="s">
        <v>41</v>
      </c>
      <c r="K64" s="2">
        <v>90004</v>
      </c>
      <c r="L64" s="2" t="s">
        <v>42</v>
      </c>
      <c r="M64" s="2" t="s">
        <v>290</v>
      </c>
      <c r="N64" s="2" t="s">
        <v>69</v>
      </c>
      <c r="O64" s="2" t="s">
        <v>159</v>
      </c>
      <c r="P64" s="2" t="s">
        <v>291</v>
      </c>
      <c r="Q64" s="2">
        <v>13.98</v>
      </c>
      <c r="R64" s="2">
        <v>2</v>
      </c>
      <c r="S64" s="2">
        <v>0</v>
      </c>
      <c r="T64" s="4">
        <v>6.1512000000000011</v>
      </c>
      <c r="U64">
        <f t="shared" si="0"/>
        <v>6</v>
      </c>
    </row>
    <row r="65" spans="1:21" ht="15.5" x14ac:dyDescent="0.35">
      <c r="A65" s="2" t="s">
        <v>287</v>
      </c>
      <c r="B65" s="3">
        <v>42332</v>
      </c>
      <c r="C65" s="3">
        <v>42338</v>
      </c>
      <c r="D65" s="2" t="s">
        <v>48</v>
      </c>
      <c r="E65" s="2" t="s">
        <v>288</v>
      </c>
      <c r="F65" s="2" t="s">
        <v>289</v>
      </c>
      <c r="G65" s="2" t="s">
        <v>24</v>
      </c>
      <c r="H65" s="2" t="s">
        <v>25</v>
      </c>
      <c r="I65" s="2" t="s">
        <v>40</v>
      </c>
      <c r="J65" s="2" t="s">
        <v>41</v>
      </c>
      <c r="K65" s="2">
        <v>90004</v>
      </c>
      <c r="L65" s="2" t="s">
        <v>42</v>
      </c>
      <c r="M65" s="2" t="s">
        <v>292</v>
      </c>
      <c r="N65" s="2" t="s">
        <v>44</v>
      </c>
      <c r="O65" s="2" t="s">
        <v>73</v>
      </c>
      <c r="P65" s="2" t="s">
        <v>293</v>
      </c>
      <c r="Q65" s="2">
        <v>25.824000000000002</v>
      </c>
      <c r="R65" s="2">
        <v>6</v>
      </c>
      <c r="S65" s="2">
        <v>0.2</v>
      </c>
      <c r="T65" s="4">
        <v>9.3612000000000002</v>
      </c>
      <c r="U65">
        <f t="shared" si="0"/>
        <v>6</v>
      </c>
    </row>
    <row r="66" spans="1:21" ht="15.5" x14ac:dyDescent="0.35">
      <c r="A66" s="2" t="s">
        <v>287</v>
      </c>
      <c r="B66" s="3">
        <v>42332</v>
      </c>
      <c r="C66" s="3">
        <v>42338</v>
      </c>
      <c r="D66" s="2" t="s">
        <v>48</v>
      </c>
      <c r="E66" s="2" t="s">
        <v>288</v>
      </c>
      <c r="F66" s="2" t="s">
        <v>289</v>
      </c>
      <c r="G66" s="2" t="s">
        <v>24</v>
      </c>
      <c r="H66" s="2" t="s">
        <v>25</v>
      </c>
      <c r="I66" s="2" t="s">
        <v>40</v>
      </c>
      <c r="J66" s="2" t="s">
        <v>41</v>
      </c>
      <c r="K66" s="2">
        <v>90004</v>
      </c>
      <c r="L66" s="2" t="s">
        <v>42</v>
      </c>
      <c r="M66" s="2" t="s">
        <v>294</v>
      </c>
      <c r="N66" s="2" t="s">
        <v>44</v>
      </c>
      <c r="O66" s="2" t="s">
        <v>88</v>
      </c>
      <c r="P66" s="2" t="s">
        <v>295</v>
      </c>
      <c r="Q66" s="2">
        <v>146.72999999999999</v>
      </c>
      <c r="R66" s="2">
        <v>3</v>
      </c>
      <c r="S66" s="2">
        <v>0</v>
      </c>
      <c r="T66" s="4">
        <v>68.963099999999997</v>
      </c>
      <c r="U66">
        <f t="shared" si="0"/>
        <v>6</v>
      </c>
    </row>
    <row r="67" spans="1:21" ht="15.5" x14ac:dyDescent="0.35">
      <c r="A67" s="2" t="s">
        <v>287</v>
      </c>
      <c r="B67" s="3">
        <v>42332</v>
      </c>
      <c r="C67" s="3">
        <v>42338</v>
      </c>
      <c r="D67" s="2" t="s">
        <v>48</v>
      </c>
      <c r="E67" s="2" t="s">
        <v>288</v>
      </c>
      <c r="F67" s="2" t="s">
        <v>289</v>
      </c>
      <c r="G67" s="2" t="s">
        <v>24</v>
      </c>
      <c r="H67" s="2" t="s">
        <v>25</v>
      </c>
      <c r="I67" s="2" t="s">
        <v>40</v>
      </c>
      <c r="J67" s="2" t="s">
        <v>41</v>
      </c>
      <c r="K67" s="2">
        <v>90004</v>
      </c>
      <c r="L67" s="2" t="s">
        <v>42</v>
      </c>
      <c r="M67" s="2" t="s">
        <v>296</v>
      </c>
      <c r="N67" s="2" t="s">
        <v>30</v>
      </c>
      <c r="O67" s="2" t="s">
        <v>63</v>
      </c>
      <c r="P67" s="2" t="s">
        <v>297</v>
      </c>
      <c r="Q67" s="2">
        <v>79.760000000000005</v>
      </c>
      <c r="R67" s="2">
        <v>4</v>
      </c>
      <c r="S67" s="2">
        <v>0</v>
      </c>
      <c r="T67" s="4">
        <v>22.332800000000006</v>
      </c>
      <c r="U67">
        <f t="shared" ref="U67:U130" si="1">C67-B67</f>
        <v>6</v>
      </c>
    </row>
    <row r="68" spans="1:21" ht="15.5" x14ac:dyDescent="0.35">
      <c r="A68" s="2" t="s">
        <v>298</v>
      </c>
      <c r="B68" s="3">
        <v>42124</v>
      </c>
      <c r="C68" s="3">
        <v>42129</v>
      </c>
      <c r="D68" s="2" t="s">
        <v>48</v>
      </c>
      <c r="E68" s="2" t="s">
        <v>299</v>
      </c>
      <c r="F68" s="2" t="s">
        <v>300</v>
      </c>
      <c r="G68" s="2" t="s">
        <v>100</v>
      </c>
      <c r="H68" s="2" t="s">
        <v>25</v>
      </c>
      <c r="I68" s="2" t="s">
        <v>301</v>
      </c>
      <c r="J68" s="2" t="s">
        <v>209</v>
      </c>
      <c r="K68" s="2">
        <v>60610</v>
      </c>
      <c r="L68" s="2" t="s">
        <v>103</v>
      </c>
      <c r="M68" s="2" t="s">
        <v>302</v>
      </c>
      <c r="N68" s="2" t="s">
        <v>30</v>
      </c>
      <c r="O68" s="2" t="s">
        <v>34</v>
      </c>
      <c r="P68" s="2" t="s">
        <v>303</v>
      </c>
      <c r="Q68" s="2">
        <v>213.11499999999998</v>
      </c>
      <c r="R68" s="2">
        <v>5</v>
      </c>
      <c r="S68" s="2">
        <v>0.3</v>
      </c>
      <c r="T68" s="4">
        <v>-15.222500000000011</v>
      </c>
      <c r="U68">
        <f t="shared" si="1"/>
        <v>5</v>
      </c>
    </row>
    <row r="69" spans="1:21" ht="15.5" x14ac:dyDescent="0.35">
      <c r="A69" s="2" t="s">
        <v>304</v>
      </c>
      <c r="B69" s="3">
        <v>41978</v>
      </c>
      <c r="C69" s="3">
        <v>41983</v>
      </c>
      <c r="D69" s="2" t="s">
        <v>48</v>
      </c>
      <c r="E69" s="2" t="s">
        <v>305</v>
      </c>
      <c r="F69" s="2" t="s">
        <v>306</v>
      </c>
      <c r="G69" s="2" t="s">
        <v>39</v>
      </c>
      <c r="H69" s="2" t="s">
        <v>25</v>
      </c>
      <c r="I69" s="2" t="s">
        <v>307</v>
      </c>
      <c r="J69" s="2" t="s">
        <v>308</v>
      </c>
      <c r="K69" s="2">
        <v>85234</v>
      </c>
      <c r="L69" s="2" t="s">
        <v>42</v>
      </c>
      <c r="M69" s="2" t="s">
        <v>309</v>
      </c>
      <c r="N69" s="2" t="s">
        <v>44</v>
      </c>
      <c r="O69" s="2" t="s">
        <v>66</v>
      </c>
      <c r="P69" s="2" t="s">
        <v>310</v>
      </c>
      <c r="Q69" s="2">
        <v>1113.0240000000001</v>
      </c>
      <c r="R69" s="2">
        <v>8</v>
      </c>
      <c r="S69" s="2">
        <v>0.2</v>
      </c>
      <c r="T69" s="4">
        <v>111.30239999999998</v>
      </c>
      <c r="U69">
        <f t="shared" si="1"/>
        <v>5</v>
      </c>
    </row>
    <row r="70" spans="1:21" ht="15.5" x14ac:dyDescent="0.35">
      <c r="A70" s="2" t="s">
        <v>304</v>
      </c>
      <c r="B70" s="3">
        <v>41978</v>
      </c>
      <c r="C70" s="3">
        <v>41983</v>
      </c>
      <c r="D70" s="2" t="s">
        <v>48</v>
      </c>
      <c r="E70" s="2" t="s">
        <v>305</v>
      </c>
      <c r="F70" s="2" t="s">
        <v>306</v>
      </c>
      <c r="G70" s="2" t="s">
        <v>39</v>
      </c>
      <c r="H70" s="2" t="s">
        <v>25</v>
      </c>
      <c r="I70" s="2" t="s">
        <v>307</v>
      </c>
      <c r="J70" s="2" t="s">
        <v>308</v>
      </c>
      <c r="K70" s="2">
        <v>85234</v>
      </c>
      <c r="L70" s="2" t="s">
        <v>42</v>
      </c>
      <c r="M70" s="2" t="s">
        <v>311</v>
      </c>
      <c r="N70" s="2" t="s">
        <v>69</v>
      </c>
      <c r="O70" s="2" t="s">
        <v>70</v>
      </c>
      <c r="P70" s="2" t="s">
        <v>312</v>
      </c>
      <c r="Q70" s="2">
        <v>167.96800000000002</v>
      </c>
      <c r="R70" s="2">
        <v>4</v>
      </c>
      <c r="S70" s="2">
        <v>0.2</v>
      </c>
      <c r="T70" s="4">
        <v>62.988</v>
      </c>
      <c r="U70">
        <f t="shared" si="1"/>
        <v>5</v>
      </c>
    </row>
    <row r="71" spans="1:21" ht="15.5" x14ac:dyDescent="0.35">
      <c r="A71" s="2" t="s">
        <v>313</v>
      </c>
      <c r="B71" s="3">
        <v>42525</v>
      </c>
      <c r="C71" s="3">
        <v>42527</v>
      </c>
      <c r="D71" s="2" t="s">
        <v>186</v>
      </c>
      <c r="E71" s="2" t="s">
        <v>314</v>
      </c>
      <c r="F71" s="2" t="s">
        <v>315</v>
      </c>
      <c r="G71" s="2" t="s">
        <v>24</v>
      </c>
      <c r="H71" s="2" t="s">
        <v>25</v>
      </c>
      <c r="I71" s="2" t="s">
        <v>316</v>
      </c>
      <c r="J71" s="2" t="s">
        <v>317</v>
      </c>
      <c r="K71" s="2">
        <v>22153</v>
      </c>
      <c r="L71" s="2" t="s">
        <v>28</v>
      </c>
      <c r="M71" s="2" t="s">
        <v>318</v>
      </c>
      <c r="N71" s="2" t="s">
        <v>44</v>
      </c>
      <c r="O71" s="2" t="s">
        <v>88</v>
      </c>
      <c r="P71" s="2" t="s">
        <v>319</v>
      </c>
      <c r="Q71" s="2">
        <v>75.88</v>
      </c>
      <c r="R71" s="2">
        <v>2</v>
      </c>
      <c r="S71" s="2">
        <v>0</v>
      </c>
      <c r="T71" s="4">
        <v>35.663599999999995</v>
      </c>
      <c r="U71">
        <f t="shared" si="1"/>
        <v>2</v>
      </c>
    </row>
    <row r="72" spans="1:21" ht="15.5" x14ac:dyDescent="0.35">
      <c r="A72" s="2" t="s">
        <v>320</v>
      </c>
      <c r="B72" s="3">
        <v>42631</v>
      </c>
      <c r="C72" s="3">
        <v>42636</v>
      </c>
      <c r="D72" s="2" t="s">
        <v>48</v>
      </c>
      <c r="E72" s="2" t="s">
        <v>321</v>
      </c>
      <c r="F72" s="2" t="s">
        <v>322</v>
      </c>
      <c r="G72" s="2" t="s">
        <v>24</v>
      </c>
      <c r="H72" s="2" t="s">
        <v>25</v>
      </c>
      <c r="I72" s="2" t="s">
        <v>264</v>
      </c>
      <c r="J72" s="2" t="s">
        <v>265</v>
      </c>
      <c r="K72" s="2">
        <v>10009</v>
      </c>
      <c r="L72" s="2" t="s">
        <v>146</v>
      </c>
      <c r="M72" s="2" t="s">
        <v>323</v>
      </c>
      <c r="N72" s="2" t="s">
        <v>44</v>
      </c>
      <c r="O72" s="2" t="s">
        <v>73</v>
      </c>
      <c r="P72" s="2" t="s">
        <v>324</v>
      </c>
      <c r="Q72" s="2">
        <v>4.6159999999999997</v>
      </c>
      <c r="R72" s="2">
        <v>1</v>
      </c>
      <c r="S72" s="2">
        <v>0.2</v>
      </c>
      <c r="T72" s="4">
        <v>1.7309999999999999</v>
      </c>
      <c r="U72">
        <f t="shared" si="1"/>
        <v>5</v>
      </c>
    </row>
    <row r="73" spans="1:21" ht="15.5" x14ac:dyDescent="0.35">
      <c r="A73" s="2" t="s">
        <v>325</v>
      </c>
      <c r="B73" s="3">
        <v>42992</v>
      </c>
      <c r="C73" s="3">
        <v>42995</v>
      </c>
      <c r="D73" s="2" t="s">
        <v>21</v>
      </c>
      <c r="E73" s="2" t="s">
        <v>162</v>
      </c>
      <c r="F73" s="2" t="s">
        <v>163</v>
      </c>
      <c r="G73" s="2" t="s">
        <v>24</v>
      </c>
      <c r="H73" s="2" t="s">
        <v>25</v>
      </c>
      <c r="I73" s="2" t="s">
        <v>326</v>
      </c>
      <c r="J73" s="2" t="s">
        <v>236</v>
      </c>
      <c r="K73" s="2">
        <v>49201</v>
      </c>
      <c r="L73" s="2" t="s">
        <v>103</v>
      </c>
      <c r="M73" s="2" t="s">
        <v>327</v>
      </c>
      <c r="N73" s="2" t="s">
        <v>44</v>
      </c>
      <c r="O73" s="2" t="s">
        <v>88</v>
      </c>
      <c r="P73" s="2" t="s">
        <v>328</v>
      </c>
      <c r="Q73" s="2">
        <v>19.049999999999997</v>
      </c>
      <c r="R73" s="2">
        <v>3</v>
      </c>
      <c r="S73" s="2">
        <v>0</v>
      </c>
      <c r="T73" s="4">
        <v>8.7629999999999999</v>
      </c>
      <c r="U73">
        <f t="shared" si="1"/>
        <v>3</v>
      </c>
    </row>
    <row r="74" spans="1:21" ht="15.5" x14ac:dyDescent="0.35">
      <c r="A74" s="2" t="s">
        <v>329</v>
      </c>
      <c r="B74" s="3">
        <v>42120</v>
      </c>
      <c r="C74" s="3">
        <v>42126</v>
      </c>
      <c r="D74" s="2" t="s">
        <v>48</v>
      </c>
      <c r="E74" s="2" t="s">
        <v>330</v>
      </c>
      <c r="F74" s="2" t="s">
        <v>331</v>
      </c>
      <c r="G74" s="2" t="s">
        <v>24</v>
      </c>
      <c r="H74" s="2" t="s">
        <v>25</v>
      </c>
      <c r="I74" s="2" t="s">
        <v>332</v>
      </c>
      <c r="J74" s="2" t="s">
        <v>333</v>
      </c>
      <c r="K74" s="2">
        <v>38109</v>
      </c>
      <c r="L74" s="2" t="s">
        <v>28</v>
      </c>
      <c r="M74" s="2" t="s">
        <v>334</v>
      </c>
      <c r="N74" s="2" t="s">
        <v>30</v>
      </c>
      <c r="O74" s="2" t="s">
        <v>34</v>
      </c>
      <c r="P74" s="2" t="s">
        <v>335</v>
      </c>
      <c r="Q74" s="2">
        <v>831.93600000000015</v>
      </c>
      <c r="R74" s="2">
        <v>8</v>
      </c>
      <c r="S74" s="2">
        <v>0.2</v>
      </c>
      <c r="T74" s="4">
        <v>-114.39120000000003</v>
      </c>
      <c r="U74">
        <f t="shared" si="1"/>
        <v>6</v>
      </c>
    </row>
    <row r="75" spans="1:21" ht="15.5" x14ac:dyDescent="0.35">
      <c r="A75" s="2" t="s">
        <v>329</v>
      </c>
      <c r="B75" s="3">
        <v>42120</v>
      </c>
      <c r="C75" s="3">
        <v>42126</v>
      </c>
      <c r="D75" s="2" t="s">
        <v>48</v>
      </c>
      <c r="E75" s="2" t="s">
        <v>330</v>
      </c>
      <c r="F75" s="2" t="s">
        <v>331</v>
      </c>
      <c r="G75" s="2" t="s">
        <v>24</v>
      </c>
      <c r="H75" s="2" t="s">
        <v>25</v>
      </c>
      <c r="I75" s="2" t="s">
        <v>332</v>
      </c>
      <c r="J75" s="2" t="s">
        <v>333</v>
      </c>
      <c r="K75" s="2">
        <v>38109</v>
      </c>
      <c r="L75" s="2" t="s">
        <v>28</v>
      </c>
      <c r="M75" s="2" t="s">
        <v>336</v>
      </c>
      <c r="N75" s="2" t="s">
        <v>30</v>
      </c>
      <c r="O75" s="2" t="s">
        <v>63</v>
      </c>
      <c r="P75" s="2" t="s">
        <v>337</v>
      </c>
      <c r="Q75" s="2">
        <v>97.04</v>
      </c>
      <c r="R75" s="2">
        <v>2</v>
      </c>
      <c r="S75" s="2">
        <v>0.2</v>
      </c>
      <c r="T75" s="4">
        <v>1.2129999999999974</v>
      </c>
      <c r="U75">
        <f t="shared" si="1"/>
        <v>6</v>
      </c>
    </row>
    <row r="76" spans="1:21" ht="15.5" x14ac:dyDescent="0.35">
      <c r="A76" s="2" t="s">
        <v>329</v>
      </c>
      <c r="B76" s="3">
        <v>42120</v>
      </c>
      <c r="C76" s="3">
        <v>42126</v>
      </c>
      <c r="D76" s="2" t="s">
        <v>48</v>
      </c>
      <c r="E76" s="2" t="s">
        <v>330</v>
      </c>
      <c r="F76" s="2" t="s">
        <v>331</v>
      </c>
      <c r="G76" s="2" t="s">
        <v>24</v>
      </c>
      <c r="H76" s="2" t="s">
        <v>25</v>
      </c>
      <c r="I76" s="2" t="s">
        <v>332</v>
      </c>
      <c r="J76" s="2" t="s">
        <v>333</v>
      </c>
      <c r="K76" s="2">
        <v>38109</v>
      </c>
      <c r="L76" s="2" t="s">
        <v>28</v>
      </c>
      <c r="M76" s="2" t="s">
        <v>338</v>
      </c>
      <c r="N76" s="2" t="s">
        <v>44</v>
      </c>
      <c r="O76" s="2" t="s">
        <v>57</v>
      </c>
      <c r="P76" s="2" t="s">
        <v>339</v>
      </c>
      <c r="Q76" s="2">
        <v>72.784000000000006</v>
      </c>
      <c r="R76" s="2">
        <v>1</v>
      </c>
      <c r="S76" s="2">
        <v>0.2</v>
      </c>
      <c r="T76" s="4">
        <v>-18.196000000000002</v>
      </c>
      <c r="U76">
        <f t="shared" si="1"/>
        <v>6</v>
      </c>
    </row>
    <row r="77" spans="1:21" ht="15.5" x14ac:dyDescent="0.35">
      <c r="A77" s="2" t="s">
        <v>340</v>
      </c>
      <c r="B77" s="3">
        <v>43078</v>
      </c>
      <c r="C77" s="3">
        <v>43080</v>
      </c>
      <c r="D77" s="2" t="s">
        <v>186</v>
      </c>
      <c r="E77" s="2" t="s">
        <v>341</v>
      </c>
      <c r="F77" s="2" t="s">
        <v>342</v>
      </c>
      <c r="G77" s="2" t="s">
        <v>39</v>
      </c>
      <c r="H77" s="2" t="s">
        <v>25</v>
      </c>
      <c r="I77" s="2" t="s">
        <v>182</v>
      </c>
      <c r="J77" s="2" t="s">
        <v>102</v>
      </c>
      <c r="K77" s="2">
        <v>77041</v>
      </c>
      <c r="L77" s="2" t="s">
        <v>103</v>
      </c>
      <c r="M77" s="2" t="s">
        <v>343</v>
      </c>
      <c r="N77" s="2" t="s">
        <v>44</v>
      </c>
      <c r="O77" s="2" t="s">
        <v>73</v>
      </c>
      <c r="P77" s="2" t="s">
        <v>344</v>
      </c>
      <c r="Q77" s="2">
        <v>1.2479999999999998</v>
      </c>
      <c r="R77" s="2">
        <v>3</v>
      </c>
      <c r="S77" s="2">
        <v>0.8</v>
      </c>
      <c r="T77" s="4">
        <v>-1.9344000000000006</v>
      </c>
      <c r="U77">
        <f t="shared" si="1"/>
        <v>2</v>
      </c>
    </row>
    <row r="78" spans="1:21" ht="15.5" x14ac:dyDescent="0.35">
      <c r="A78" s="2" t="s">
        <v>340</v>
      </c>
      <c r="B78" s="3">
        <v>43078</v>
      </c>
      <c r="C78" s="3">
        <v>43080</v>
      </c>
      <c r="D78" s="2" t="s">
        <v>186</v>
      </c>
      <c r="E78" s="2" t="s">
        <v>341</v>
      </c>
      <c r="F78" s="2" t="s">
        <v>342</v>
      </c>
      <c r="G78" s="2" t="s">
        <v>39</v>
      </c>
      <c r="H78" s="2" t="s">
        <v>25</v>
      </c>
      <c r="I78" s="2" t="s">
        <v>182</v>
      </c>
      <c r="J78" s="2" t="s">
        <v>102</v>
      </c>
      <c r="K78" s="2">
        <v>77041</v>
      </c>
      <c r="L78" s="2" t="s">
        <v>103</v>
      </c>
      <c r="M78" s="2" t="s">
        <v>345</v>
      </c>
      <c r="N78" s="2" t="s">
        <v>30</v>
      </c>
      <c r="O78" s="2" t="s">
        <v>63</v>
      </c>
      <c r="P78" s="2" t="s">
        <v>346</v>
      </c>
      <c r="Q78" s="2">
        <v>9.7080000000000002</v>
      </c>
      <c r="R78" s="2">
        <v>3</v>
      </c>
      <c r="S78" s="2">
        <v>0.6</v>
      </c>
      <c r="T78" s="4">
        <v>-5.8248000000000015</v>
      </c>
      <c r="U78">
        <f t="shared" si="1"/>
        <v>2</v>
      </c>
    </row>
    <row r="79" spans="1:21" ht="15.5" x14ac:dyDescent="0.35">
      <c r="A79" s="2" t="s">
        <v>340</v>
      </c>
      <c r="B79" s="3">
        <v>43078</v>
      </c>
      <c r="C79" s="3">
        <v>43080</v>
      </c>
      <c r="D79" s="2" t="s">
        <v>186</v>
      </c>
      <c r="E79" s="2" t="s">
        <v>341</v>
      </c>
      <c r="F79" s="2" t="s">
        <v>342</v>
      </c>
      <c r="G79" s="2" t="s">
        <v>39</v>
      </c>
      <c r="H79" s="2" t="s">
        <v>25</v>
      </c>
      <c r="I79" s="2" t="s">
        <v>182</v>
      </c>
      <c r="J79" s="2" t="s">
        <v>102</v>
      </c>
      <c r="K79" s="2">
        <v>77041</v>
      </c>
      <c r="L79" s="2" t="s">
        <v>103</v>
      </c>
      <c r="M79" s="2" t="s">
        <v>347</v>
      </c>
      <c r="N79" s="2" t="s">
        <v>44</v>
      </c>
      <c r="O79" s="2" t="s">
        <v>57</v>
      </c>
      <c r="P79" s="2" t="s">
        <v>348</v>
      </c>
      <c r="Q79" s="2">
        <v>27.240000000000002</v>
      </c>
      <c r="R79" s="2">
        <v>3</v>
      </c>
      <c r="S79" s="2">
        <v>0.2</v>
      </c>
      <c r="T79" s="4">
        <v>2.724000000000002</v>
      </c>
      <c r="U79">
        <f t="shared" si="1"/>
        <v>2</v>
      </c>
    </row>
    <row r="80" spans="1:21" ht="15.5" x14ac:dyDescent="0.35">
      <c r="A80" s="2" t="s">
        <v>349</v>
      </c>
      <c r="B80" s="3">
        <v>41969</v>
      </c>
      <c r="C80" s="3">
        <v>41974</v>
      </c>
      <c r="D80" s="2" t="s">
        <v>21</v>
      </c>
      <c r="E80" s="2" t="s">
        <v>330</v>
      </c>
      <c r="F80" s="2" t="s">
        <v>331</v>
      </c>
      <c r="G80" s="2" t="s">
        <v>24</v>
      </c>
      <c r="H80" s="2" t="s">
        <v>25</v>
      </c>
      <c r="I80" s="2" t="s">
        <v>182</v>
      </c>
      <c r="J80" s="2" t="s">
        <v>102</v>
      </c>
      <c r="K80" s="2">
        <v>77070</v>
      </c>
      <c r="L80" s="2" t="s">
        <v>103</v>
      </c>
      <c r="M80" s="2" t="s">
        <v>350</v>
      </c>
      <c r="N80" s="2" t="s">
        <v>30</v>
      </c>
      <c r="O80" s="2" t="s">
        <v>63</v>
      </c>
      <c r="P80" s="2" t="s">
        <v>351</v>
      </c>
      <c r="Q80" s="2">
        <v>19.3</v>
      </c>
      <c r="R80" s="2">
        <v>5</v>
      </c>
      <c r="S80" s="2">
        <v>0.6</v>
      </c>
      <c r="T80" s="4">
        <v>-14.475000000000001</v>
      </c>
      <c r="U80">
        <f t="shared" si="1"/>
        <v>5</v>
      </c>
    </row>
    <row r="81" spans="1:21" ht="15.5" x14ac:dyDescent="0.35">
      <c r="A81" s="2" t="s">
        <v>352</v>
      </c>
      <c r="B81" s="3">
        <v>42533</v>
      </c>
      <c r="C81" s="3">
        <v>42536</v>
      </c>
      <c r="D81" s="2" t="s">
        <v>186</v>
      </c>
      <c r="E81" s="2" t="s">
        <v>353</v>
      </c>
      <c r="F81" s="2" t="s">
        <v>354</v>
      </c>
      <c r="G81" s="2" t="s">
        <v>39</v>
      </c>
      <c r="H81" s="2" t="s">
        <v>25</v>
      </c>
      <c r="I81" s="2" t="s">
        <v>355</v>
      </c>
      <c r="J81" s="2" t="s">
        <v>356</v>
      </c>
      <c r="K81" s="2">
        <v>35601</v>
      </c>
      <c r="L81" s="2" t="s">
        <v>28</v>
      </c>
      <c r="M81" s="2" t="s">
        <v>357</v>
      </c>
      <c r="N81" s="2" t="s">
        <v>44</v>
      </c>
      <c r="O81" s="2" t="s">
        <v>76</v>
      </c>
      <c r="P81" s="2" t="s">
        <v>358</v>
      </c>
      <c r="Q81" s="2">
        <v>208.16</v>
      </c>
      <c r="R81" s="2">
        <v>1</v>
      </c>
      <c r="S81" s="2">
        <v>0</v>
      </c>
      <c r="T81" s="4">
        <v>56.20320000000001</v>
      </c>
      <c r="U81">
        <f t="shared" si="1"/>
        <v>3</v>
      </c>
    </row>
    <row r="82" spans="1:21" ht="15.5" x14ac:dyDescent="0.35">
      <c r="A82" s="2" t="s">
        <v>352</v>
      </c>
      <c r="B82" s="3">
        <v>42533</v>
      </c>
      <c r="C82" s="3">
        <v>42536</v>
      </c>
      <c r="D82" s="2" t="s">
        <v>186</v>
      </c>
      <c r="E82" s="2" t="s">
        <v>353</v>
      </c>
      <c r="F82" s="2" t="s">
        <v>354</v>
      </c>
      <c r="G82" s="2" t="s">
        <v>39</v>
      </c>
      <c r="H82" s="2" t="s">
        <v>25</v>
      </c>
      <c r="I82" s="2" t="s">
        <v>355</v>
      </c>
      <c r="J82" s="2" t="s">
        <v>356</v>
      </c>
      <c r="K82" s="2">
        <v>35601</v>
      </c>
      <c r="L82" s="2" t="s">
        <v>28</v>
      </c>
      <c r="M82" s="2" t="s">
        <v>359</v>
      </c>
      <c r="N82" s="2" t="s">
        <v>44</v>
      </c>
      <c r="O82" s="2" t="s">
        <v>73</v>
      </c>
      <c r="P82" s="2" t="s">
        <v>360</v>
      </c>
      <c r="Q82" s="2">
        <v>16.740000000000002</v>
      </c>
      <c r="R82" s="2">
        <v>3</v>
      </c>
      <c r="S82" s="2">
        <v>0</v>
      </c>
      <c r="T82" s="4">
        <v>8.0351999999999997</v>
      </c>
      <c r="U82">
        <f t="shared" si="1"/>
        <v>3</v>
      </c>
    </row>
    <row r="83" spans="1:21" ht="15.5" x14ac:dyDescent="0.35">
      <c r="A83" s="2" t="s">
        <v>361</v>
      </c>
      <c r="B83" s="3">
        <v>41924</v>
      </c>
      <c r="C83" s="3">
        <v>41928</v>
      </c>
      <c r="D83" s="2" t="s">
        <v>48</v>
      </c>
      <c r="E83" s="2" t="s">
        <v>362</v>
      </c>
      <c r="F83" s="2" t="s">
        <v>363</v>
      </c>
      <c r="G83" s="2" t="s">
        <v>24</v>
      </c>
      <c r="H83" s="2" t="s">
        <v>25</v>
      </c>
      <c r="I83" s="2" t="s">
        <v>125</v>
      </c>
      <c r="J83" s="2" t="s">
        <v>41</v>
      </c>
      <c r="K83" s="2">
        <v>94122</v>
      </c>
      <c r="L83" s="2" t="s">
        <v>42</v>
      </c>
      <c r="M83" s="2" t="s">
        <v>364</v>
      </c>
      <c r="N83" s="2" t="s">
        <v>44</v>
      </c>
      <c r="O83" s="2" t="s">
        <v>66</v>
      </c>
      <c r="P83" s="2" t="s">
        <v>365</v>
      </c>
      <c r="Q83" s="2">
        <v>14.9</v>
      </c>
      <c r="R83" s="2">
        <v>5</v>
      </c>
      <c r="S83" s="2">
        <v>0</v>
      </c>
      <c r="T83" s="4">
        <v>4.1720000000000006</v>
      </c>
      <c r="U83">
        <f t="shared" si="1"/>
        <v>4</v>
      </c>
    </row>
    <row r="84" spans="1:21" ht="15.5" x14ac:dyDescent="0.35">
      <c r="A84" s="2" t="s">
        <v>361</v>
      </c>
      <c r="B84" s="3">
        <v>41924</v>
      </c>
      <c r="C84" s="3">
        <v>41928</v>
      </c>
      <c r="D84" s="2" t="s">
        <v>48</v>
      </c>
      <c r="E84" s="2" t="s">
        <v>362</v>
      </c>
      <c r="F84" s="2" t="s">
        <v>363</v>
      </c>
      <c r="G84" s="2" t="s">
        <v>24</v>
      </c>
      <c r="H84" s="2" t="s">
        <v>25</v>
      </c>
      <c r="I84" s="2" t="s">
        <v>125</v>
      </c>
      <c r="J84" s="2" t="s">
        <v>41</v>
      </c>
      <c r="K84" s="2">
        <v>94122</v>
      </c>
      <c r="L84" s="2" t="s">
        <v>42</v>
      </c>
      <c r="M84" s="2" t="s">
        <v>366</v>
      </c>
      <c r="N84" s="2" t="s">
        <v>44</v>
      </c>
      <c r="O84" s="2" t="s">
        <v>57</v>
      </c>
      <c r="P84" s="2" t="s">
        <v>367</v>
      </c>
      <c r="Q84" s="2">
        <v>21.39</v>
      </c>
      <c r="R84" s="2">
        <v>1</v>
      </c>
      <c r="S84" s="2">
        <v>0</v>
      </c>
      <c r="T84" s="4">
        <v>6.2030999999999992</v>
      </c>
      <c r="U84">
        <f t="shared" si="1"/>
        <v>4</v>
      </c>
    </row>
    <row r="85" spans="1:21" ht="15.5" x14ac:dyDescent="0.35">
      <c r="A85" s="2" t="s">
        <v>368</v>
      </c>
      <c r="B85" s="3">
        <v>42250</v>
      </c>
      <c r="C85" s="3">
        <v>42255</v>
      </c>
      <c r="D85" s="2" t="s">
        <v>48</v>
      </c>
      <c r="E85" s="2" t="s">
        <v>369</v>
      </c>
      <c r="F85" s="2" t="s">
        <v>370</v>
      </c>
      <c r="G85" s="2" t="s">
        <v>39</v>
      </c>
      <c r="H85" s="2" t="s">
        <v>25</v>
      </c>
      <c r="I85" s="2" t="s">
        <v>371</v>
      </c>
      <c r="J85" s="2" t="s">
        <v>86</v>
      </c>
      <c r="K85" s="2">
        <v>27707</v>
      </c>
      <c r="L85" s="2" t="s">
        <v>28</v>
      </c>
      <c r="M85" s="2" t="s">
        <v>372</v>
      </c>
      <c r="N85" s="2" t="s">
        <v>44</v>
      </c>
      <c r="O85" s="2" t="s">
        <v>171</v>
      </c>
      <c r="P85" s="2" t="s">
        <v>373</v>
      </c>
      <c r="Q85" s="2">
        <v>200.98400000000004</v>
      </c>
      <c r="R85" s="2">
        <v>7</v>
      </c>
      <c r="S85" s="2">
        <v>0.2</v>
      </c>
      <c r="T85" s="4">
        <v>62.807499999999976</v>
      </c>
      <c r="U85">
        <f t="shared" si="1"/>
        <v>5</v>
      </c>
    </row>
    <row r="86" spans="1:21" ht="15.5" x14ac:dyDescent="0.35">
      <c r="A86" s="2" t="s">
        <v>374</v>
      </c>
      <c r="B86" s="3">
        <v>43052</v>
      </c>
      <c r="C86" s="3">
        <v>43055</v>
      </c>
      <c r="D86" s="2" t="s">
        <v>186</v>
      </c>
      <c r="E86" s="2" t="s">
        <v>375</v>
      </c>
      <c r="F86" s="2" t="s">
        <v>376</v>
      </c>
      <c r="G86" s="2" t="s">
        <v>100</v>
      </c>
      <c r="H86" s="2" t="s">
        <v>25</v>
      </c>
      <c r="I86" s="2" t="s">
        <v>301</v>
      </c>
      <c r="J86" s="2" t="s">
        <v>209</v>
      </c>
      <c r="K86" s="2">
        <v>60623</v>
      </c>
      <c r="L86" s="2" t="s">
        <v>103</v>
      </c>
      <c r="M86" s="2" t="s">
        <v>377</v>
      </c>
      <c r="N86" s="2" t="s">
        <v>44</v>
      </c>
      <c r="O86" s="2" t="s">
        <v>57</v>
      </c>
      <c r="P86" s="2" t="s">
        <v>378</v>
      </c>
      <c r="Q86" s="2">
        <v>230.376</v>
      </c>
      <c r="R86" s="2">
        <v>3</v>
      </c>
      <c r="S86" s="2">
        <v>0.2</v>
      </c>
      <c r="T86" s="4">
        <v>-48.954900000000002</v>
      </c>
      <c r="U86">
        <f t="shared" si="1"/>
        <v>3</v>
      </c>
    </row>
    <row r="87" spans="1:21" ht="15.5" x14ac:dyDescent="0.35">
      <c r="A87" s="2" t="s">
        <v>379</v>
      </c>
      <c r="B87" s="3">
        <v>42883</v>
      </c>
      <c r="C87" s="3">
        <v>42885</v>
      </c>
      <c r="D87" s="2" t="s">
        <v>21</v>
      </c>
      <c r="E87" s="2" t="s">
        <v>233</v>
      </c>
      <c r="F87" s="2" t="s">
        <v>234</v>
      </c>
      <c r="G87" s="2" t="s">
        <v>24</v>
      </c>
      <c r="H87" s="2" t="s">
        <v>25</v>
      </c>
      <c r="I87" s="2" t="s">
        <v>380</v>
      </c>
      <c r="J87" s="2" t="s">
        <v>381</v>
      </c>
      <c r="K87" s="2">
        <v>29203</v>
      </c>
      <c r="L87" s="2" t="s">
        <v>28</v>
      </c>
      <c r="M87" s="2" t="s">
        <v>382</v>
      </c>
      <c r="N87" s="2" t="s">
        <v>30</v>
      </c>
      <c r="O87" s="2" t="s">
        <v>34</v>
      </c>
      <c r="P87" s="2" t="s">
        <v>383</v>
      </c>
      <c r="Q87" s="2">
        <v>301.95999999999998</v>
      </c>
      <c r="R87" s="2">
        <v>2</v>
      </c>
      <c r="S87" s="2">
        <v>0</v>
      </c>
      <c r="T87" s="4">
        <v>33.215599999999995</v>
      </c>
      <c r="U87">
        <f t="shared" si="1"/>
        <v>2</v>
      </c>
    </row>
    <row r="88" spans="1:21" ht="15.5" x14ac:dyDescent="0.35">
      <c r="A88" s="2" t="s">
        <v>384</v>
      </c>
      <c r="B88" s="3">
        <v>43034</v>
      </c>
      <c r="C88" s="3">
        <v>43041</v>
      </c>
      <c r="D88" s="2" t="s">
        <v>48</v>
      </c>
      <c r="E88" s="2" t="s">
        <v>385</v>
      </c>
      <c r="F88" s="2" t="s">
        <v>386</v>
      </c>
      <c r="G88" s="2" t="s">
        <v>24</v>
      </c>
      <c r="H88" s="2" t="s">
        <v>25</v>
      </c>
      <c r="I88" s="2" t="s">
        <v>387</v>
      </c>
      <c r="J88" s="2" t="s">
        <v>227</v>
      </c>
      <c r="K88" s="2">
        <v>55901</v>
      </c>
      <c r="L88" s="2" t="s">
        <v>103</v>
      </c>
      <c r="M88" s="2" t="s">
        <v>388</v>
      </c>
      <c r="N88" s="2" t="s">
        <v>69</v>
      </c>
      <c r="O88" s="2" t="s">
        <v>159</v>
      </c>
      <c r="P88" s="2" t="s">
        <v>389</v>
      </c>
      <c r="Q88" s="2">
        <v>19.989999999999998</v>
      </c>
      <c r="R88" s="2">
        <v>1</v>
      </c>
      <c r="S88" s="2">
        <v>0</v>
      </c>
      <c r="T88" s="4">
        <v>6.796599999999998</v>
      </c>
      <c r="U88">
        <f t="shared" si="1"/>
        <v>7</v>
      </c>
    </row>
    <row r="89" spans="1:21" ht="15.5" x14ac:dyDescent="0.35">
      <c r="A89" s="2" t="s">
        <v>384</v>
      </c>
      <c r="B89" s="3">
        <v>43034</v>
      </c>
      <c r="C89" s="3">
        <v>43041</v>
      </c>
      <c r="D89" s="2" t="s">
        <v>48</v>
      </c>
      <c r="E89" s="2" t="s">
        <v>385</v>
      </c>
      <c r="F89" s="2" t="s">
        <v>386</v>
      </c>
      <c r="G89" s="2" t="s">
        <v>24</v>
      </c>
      <c r="H89" s="2" t="s">
        <v>25</v>
      </c>
      <c r="I89" s="2" t="s">
        <v>387</v>
      </c>
      <c r="J89" s="2" t="s">
        <v>227</v>
      </c>
      <c r="K89" s="2">
        <v>55901</v>
      </c>
      <c r="L89" s="2" t="s">
        <v>103</v>
      </c>
      <c r="M89" s="2" t="s">
        <v>390</v>
      </c>
      <c r="N89" s="2" t="s">
        <v>44</v>
      </c>
      <c r="O89" s="2" t="s">
        <v>45</v>
      </c>
      <c r="P89" s="2" t="s">
        <v>391</v>
      </c>
      <c r="Q89" s="2">
        <v>6.16</v>
      </c>
      <c r="R89" s="2">
        <v>2</v>
      </c>
      <c r="S89" s="2">
        <v>0</v>
      </c>
      <c r="T89" s="4">
        <v>2.9567999999999999</v>
      </c>
      <c r="U89">
        <f t="shared" si="1"/>
        <v>7</v>
      </c>
    </row>
    <row r="90" spans="1:21" ht="15.5" x14ac:dyDescent="0.35">
      <c r="A90" s="2" t="s">
        <v>392</v>
      </c>
      <c r="B90" s="3">
        <v>42465</v>
      </c>
      <c r="C90" s="3">
        <v>42470</v>
      </c>
      <c r="D90" s="2" t="s">
        <v>21</v>
      </c>
      <c r="E90" s="2" t="s">
        <v>393</v>
      </c>
      <c r="F90" s="2" t="s">
        <v>394</v>
      </c>
      <c r="G90" s="2" t="s">
        <v>100</v>
      </c>
      <c r="H90" s="2" t="s">
        <v>25</v>
      </c>
      <c r="I90" s="2" t="s">
        <v>182</v>
      </c>
      <c r="J90" s="2" t="s">
        <v>102</v>
      </c>
      <c r="K90" s="2">
        <v>77095</v>
      </c>
      <c r="L90" s="2" t="s">
        <v>103</v>
      </c>
      <c r="M90" s="2" t="s">
        <v>395</v>
      </c>
      <c r="N90" s="2" t="s">
        <v>44</v>
      </c>
      <c r="O90" s="2" t="s">
        <v>57</v>
      </c>
      <c r="P90" s="2" t="s">
        <v>396</v>
      </c>
      <c r="Q90" s="2">
        <v>158.36800000000002</v>
      </c>
      <c r="R90" s="2">
        <v>7</v>
      </c>
      <c r="S90" s="2">
        <v>0.2</v>
      </c>
      <c r="T90" s="4">
        <v>13.857199999999999</v>
      </c>
      <c r="U90">
        <f t="shared" si="1"/>
        <v>5</v>
      </c>
    </row>
    <row r="91" spans="1:21" ht="15.5" x14ac:dyDescent="0.35">
      <c r="A91" s="2" t="s">
        <v>397</v>
      </c>
      <c r="B91" s="3">
        <v>42630</v>
      </c>
      <c r="C91" s="3">
        <v>42635</v>
      </c>
      <c r="D91" s="2" t="s">
        <v>48</v>
      </c>
      <c r="E91" s="2" t="s">
        <v>398</v>
      </c>
      <c r="F91" s="2" t="s">
        <v>399</v>
      </c>
      <c r="G91" s="2" t="s">
        <v>39</v>
      </c>
      <c r="H91" s="2" t="s">
        <v>25</v>
      </c>
      <c r="I91" s="2" t="s">
        <v>40</v>
      </c>
      <c r="J91" s="2" t="s">
        <v>41</v>
      </c>
      <c r="K91" s="2">
        <v>90036</v>
      </c>
      <c r="L91" s="2" t="s">
        <v>42</v>
      </c>
      <c r="M91" s="2" t="s">
        <v>400</v>
      </c>
      <c r="N91" s="2" t="s">
        <v>44</v>
      </c>
      <c r="O91" s="2" t="s">
        <v>66</v>
      </c>
      <c r="P91" s="2" t="s">
        <v>401</v>
      </c>
      <c r="Q91" s="2">
        <v>20.100000000000001</v>
      </c>
      <c r="R91" s="2">
        <v>3</v>
      </c>
      <c r="S91" s="2">
        <v>0</v>
      </c>
      <c r="T91" s="4">
        <v>6.6329999999999982</v>
      </c>
      <c r="U91">
        <f t="shared" si="1"/>
        <v>5</v>
      </c>
    </row>
    <row r="92" spans="1:21" ht="15.5" x14ac:dyDescent="0.35">
      <c r="A92" s="2" t="s">
        <v>397</v>
      </c>
      <c r="B92" s="3">
        <v>42630</v>
      </c>
      <c r="C92" s="3">
        <v>42635</v>
      </c>
      <c r="D92" s="2" t="s">
        <v>48</v>
      </c>
      <c r="E92" s="2" t="s">
        <v>398</v>
      </c>
      <c r="F92" s="2" t="s">
        <v>399</v>
      </c>
      <c r="G92" s="2" t="s">
        <v>39</v>
      </c>
      <c r="H92" s="2" t="s">
        <v>25</v>
      </c>
      <c r="I92" s="2" t="s">
        <v>40</v>
      </c>
      <c r="J92" s="2" t="s">
        <v>41</v>
      </c>
      <c r="K92" s="2">
        <v>90036</v>
      </c>
      <c r="L92" s="2" t="s">
        <v>42</v>
      </c>
      <c r="M92" s="2" t="s">
        <v>210</v>
      </c>
      <c r="N92" s="2" t="s">
        <v>69</v>
      </c>
      <c r="O92" s="2" t="s">
        <v>70</v>
      </c>
      <c r="P92" s="2" t="s">
        <v>211</v>
      </c>
      <c r="Q92" s="2">
        <v>73.584000000000003</v>
      </c>
      <c r="R92" s="2">
        <v>2</v>
      </c>
      <c r="S92" s="2">
        <v>0.2</v>
      </c>
      <c r="T92" s="4">
        <v>8.2781999999999982</v>
      </c>
      <c r="U92">
        <f t="shared" si="1"/>
        <v>5</v>
      </c>
    </row>
    <row r="93" spans="1:21" ht="15.5" x14ac:dyDescent="0.35">
      <c r="A93" s="2" t="s">
        <v>397</v>
      </c>
      <c r="B93" s="3">
        <v>42630</v>
      </c>
      <c r="C93" s="3">
        <v>42635</v>
      </c>
      <c r="D93" s="2" t="s">
        <v>48</v>
      </c>
      <c r="E93" s="2" t="s">
        <v>398</v>
      </c>
      <c r="F93" s="2" t="s">
        <v>399</v>
      </c>
      <c r="G93" s="2" t="s">
        <v>39</v>
      </c>
      <c r="H93" s="2" t="s">
        <v>25</v>
      </c>
      <c r="I93" s="2" t="s">
        <v>40</v>
      </c>
      <c r="J93" s="2" t="s">
        <v>41</v>
      </c>
      <c r="K93" s="2">
        <v>90036</v>
      </c>
      <c r="L93" s="2" t="s">
        <v>42</v>
      </c>
      <c r="M93" s="2" t="s">
        <v>402</v>
      </c>
      <c r="N93" s="2" t="s">
        <v>44</v>
      </c>
      <c r="O93" s="2" t="s">
        <v>88</v>
      </c>
      <c r="P93" s="2" t="s">
        <v>403</v>
      </c>
      <c r="Q93" s="2">
        <v>6.48</v>
      </c>
      <c r="R93" s="2">
        <v>1</v>
      </c>
      <c r="S93" s="2">
        <v>0</v>
      </c>
      <c r="T93" s="4">
        <v>3.1104000000000003</v>
      </c>
      <c r="U93">
        <f t="shared" si="1"/>
        <v>5</v>
      </c>
    </row>
    <row r="94" spans="1:21" ht="15.5" x14ac:dyDescent="0.35">
      <c r="A94" s="2" t="s">
        <v>404</v>
      </c>
      <c r="B94" s="3">
        <v>42035</v>
      </c>
      <c r="C94" s="3">
        <v>42040</v>
      </c>
      <c r="D94" s="2" t="s">
        <v>21</v>
      </c>
      <c r="E94" s="2" t="s">
        <v>405</v>
      </c>
      <c r="F94" s="2" t="s">
        <v>406</v>
      </c>
      <c r="G94" s="2" t="s">
        <v>24</v>
      </c>
      <c r="H94" s="2" t="s">
        <v>25</v>
      </c>
      <c r="I94" s="2" t="s">
        <v>407</v>
      </c>
      <c r="J94" s="2" t="s">
        <v>227</v>
      </c>
      <c r="K94" s="2">
        <v>55407</v>
      </c>
      <c r="L94" s="2" t="s">
        <v>103</v>
      </c>
      <c r="M94" s="2" t="s">
        <v>408</v>
      </c>
      <c r="N94" s="2" t="s">
        <v>44</v>
      </c>
      <c r="O94" s="2" t="s">
        <v>88</v>
      </c>
      <c r="P94" s="2" t="s">
        <v>409</v>
      </c>
      <c r="Q94" s="2">
        <v>12.96</v>
      </c>
      <c r="R94" s="2">
        <v>2</v>
      </c>
      <c r="S94" s="2">
        <v>0</v>
      </c>
      <c r="T94" s="4">
        <v>6.2208000000000006</v>
      </c>
      <c r="U94">
        <f t="shared" si="1"/>
        <v>5</v>
      </c>
    </row>
    <row r="95" spans="1:21" ht="15.5" x14ac:dyDescent="0.35">
      <c r="A95" s="2" t="s">
        <v>404</v>
      </c>
      <c r="B95" s="3">
        <v>42035</v>
      </c>
      <c r="C95" s="3">
        <v>42040</v>
      </c>
      <c r="D95" s="2" t="s">
        <v>21</v>
      </c>
      <c r="E95" s="2" t="s">
        <v>405</v>
      </c>
      <c r="F95" s="2" t="s">
        <v>406</v>
      </c>
      <c r="G95" s="2" t="s">
        <v>24</v>
      </c>
      <c r="H95" s="2" t="s">
        <v>25</v>
      </c>
      <c r="I95" s="2" t="s">
        <v>407</v>
      </c>
      <c r="J95" s="2" t="s">
        <v>227</v>
      </c>
      <c r="K95" s="2">
        <v>55407</v>
      </c>
      <c r="L95" s="2" t="s">
        <v>103</v>
      </c>
      <c r="M95" s="2" t="s">
        <v>410</v>
      </c>
      <c r="N95" s="2" t="s">
        <v>30</v>
      </c>
      <c r="O95" s="2" t="s">
        <v>63</v>
      </c>
      <c r="P95" s="2" t="s">
        <v>411</v>
      </c>
      <c r="Q95" s="2">
        <v>53.34</v>
      </c>
      <c r="R95" s="2">
        <v>3</v>
      </c>
      <c r="S95" s="2">
        <v>0</v>
      </c>
      <c r="T95" s="4">
        <v>16.535399999999996</v>
      </c>
      <c r="U95">
        <f t="shared" si="1"/>
        <v>5</v>
      </c>
    </row>
    <row r="96" spans="1:21" ht="15.5" x14ac:dyDescent="0.35">
      <c r="A96" s="2" t="s">
        <v>404</v>
      </c>
      <c r="B96" s="3">
        <v>42035</v>
      </c>
      <c r="C96" s="3">
        <v>42040</v>
      </c>
      <c r="D96" s="2" t="s">
        <v>21</v>
      </c>
      <c r="E96" s="2" t="s">
        <v>405</v>
      </c>
      <c r="F96" s="2" t="s">
        <v>406</v>
      </c>
      <c r="G96" s="2" t="s">
        <v>24</v>
      </c>
      <c r="H96" s="2" t="s">
        <v>25</v>
      </c>
      <c r="I96" s="2" t="s">
        <v>407</v>
      </c>
      <c r="J96" s="2" t="s">
        <v>227</v>
      </c>
      <c r="K96" s="2">
        <v>55407</v>
      </c>
      <c r="L96" s="2" t="s">
        <v>103</v>
      </c>
      <c r="M96" s="2" t="s">
        <v>412</v>
      </c>
      <c r="N96" s="2" t="s">
        <v>44</v>
      </c>
      <c r="O96" s="2" t="s">
        <v>73</v>
      </c>
      <c r="P96" s="2" t="s">
        <v>413</v>
      </c>
      <c r="Q96" s="2">
        <v>32.96</v>
      </c>
      <c r="R96" s="2">
        <v>2</v>
      </c>
      <c r="S96" s="2">
        <v>0</v>
      </c>
      <c r="T96" s="4">
        <v>16.150400000000001</v>
      </c>
      <c r="U96">
        <f t="shared" si="1"/>
        <v>5</v>
      </c>
    </row>
    <row r="97" spans="1:21" ht="15.5" x14ac:dyDescent="0.35">
      <c r="A97" s="2" t="s">
        <v>414</v>
      </c>
      <c r="B97" s="3">
        <v>43045</v>
      </c>
      <c r="C97" s="3">
        <v>43051</v>
      </c>
      <c r="D97" s="2" t="s">
        <v>48</v>
      </c>
      <c r="E97" s="2" t="s">
        <v>415</v>
      </c>
      <c r="F97" s="2" t="s">
        <v>416</v>
      </c>
      <c r="G97" s="2" t="s">
        <v>100</v>
      </c>
      <c r="H97" s="2" t="s">
        <v>25</v>
      </c>
      <c r="I97" s="2" t="s">
        <v>417</v>
      </c>
      <c r="J97" s="2" t="s">
        <v>418</v>
      </c>
      <c r="K97" s="2">
        <v>97206</v>
      </c>
      <c r="L97" s="2" t="s">
        <v>42</v>
      </c>
      <c r="M97" s="2" t="s">
        <v>419</v>
      </c>
      <c r="N97" s="2" t="s">
        <v>44</v>
      </c>
      <c r="O97" s="2" t="s">
        <v>73</v>
      </c>
      <c r="P97" s="2" t="s">
        <v>420</v>
      </c>
      <c r="Q97" s="2">
        <v>5.6820000000000013</v>
      </c>
      <c r="R97" s="2">
        <v>1</v>
      </c>
      <c r="S97" s="2">
        <v>0.7</v>
      </c>
      <c r="T97" s="4">
        <v>-3.7880000000000003</v>
      </c>
      <c r="U97">
        <f t="shared" si="1"/>
        <v>6</v>
      </c>
    </row>
    <row r="98" spans="1:21" ht="15.5" x14ac:dyDescent="0.35">
      <c r="A98" s="2" t="s">
        <v>421</v>
      </c>
      <c r="B98" s="3">
        <v>43048</v>
      </c>
      <c r="C98" s="3">
        <v>43050</v>
      </c>
      <c r="D98" s="2" t="s">
        <v>21</v>
      </c>
      <c r="E98" s="2" t="s">
        <v>422</v>
      </c>
      <c r="F98" s="2" t="s">
        <v>423</v>
      </c>
      <c r="G98" s="2" t="s">
        <v>100</v>
      </c>
      <c r="H98" s="2" t="s">
        <v>25</v>
      </c>
      <c r="I98" s="2" t="s">
        <v>264</v>
      </c>
      <c r="J98" s="2" t="s">
        <v>265</v>
      </c>
      <c r="K98" s="2">
        <v>10009</v>
      </c>
      <c r="L98" s="2" t="s">
        <v>146</v>
      </c>
      <c r="M98" s="2" t="s">
        <v>424</v>
      </c>
      <c r="N98" s="2" t="s">
        <v>30</v>
      </c>
      <c r="O98" s="2" t="s">
        <v>63</v>
      </c>
      <c r="P98" s="2" t="s">
        <v>425</v>
      </c>
      <c r="Q98" s="2">
        <v>96.53</v>
      </c>
      <c r="R98" s="2">
        <v>7</v>
      </c>
      <c r="S98" s="2">
        <v>0</v>
      </c>
      <c r="T98" s="4">
        <v>40.5426</v>
      </c>
      <c r="U98">
        <f t="shared" si="1"/>
        <v>2</v>
      </c>
    </row>
    <row r="99" spans="1:21" ht="15.5" x14ac:dyDescent="0.35">
      <c r="A99" s="2" t="s">
        <v>426</v>
      </c>
      <c r="B99" s="3">
        <v>42903</v>
      </c>
      <c r="C99" s="3">
        <v>42906</v>
      </c>
      <c r="D99" s="2" t="s">
        <v>186</v>
      </c>
      <c r="E99" s="2" t="s">
        <v>427</v>
      </c>
      <c r="F99" s="2" t="s">
        <v>428</v>
      </c>
      <c r="G99" s="2" t="s">
        <v>24</v>
      </c>
      <c r="H99" s="2" t="s">
        <v>25</v>
      </c>
      <c r="I99" s="2" t="s">
        <v>125</v>
      </c>
      <c r="J99" s="2" t="s">
        <v>41</v>
      </c>
      <c r="K99" s="2">
        <v>94122</v>
      </c>
      <c r="L99" s="2" t="s">
        <v>42</v>
      </c>
      <c r="M99" s="2" t="s">
        <v>429</v>
      </c>
      <c r="N99" s="2" t="s">
        <v>44</v>
      </c>
      <c r="O99" s="2" t="s">
        <v>73</v>
      </c>
      <c r="P99" s="2" t="s">
        <v>430</v>
      </c>
      <c r="Q99" s="2">
        <v>51.311999999999998</v>
      </c>
      <c r="R99" s="2">
        <v>3</v>
      </c>
      <c r="S99" s="2">
        <v>0.2</v>
      </c>
      <c r="T99" s="4">
        <v>17.959199999999999</v>
      </c>
      <c r="U99">
        <f t="shared" si="1"/>
        <v>3</v>
      </c>
    </row>
    <row r="100" spans="1:21" ht="15.5" x14ac:dyDescent="0.35">
      <c r="A100" s="2" t="s">
        <v>431</v>
      </c>
      <c r="B100" s="3">
        <v>42619</v>
      </c>
      <c r="C100" s="3">
        <v>42624</v>
      </c>
      <c r="D100" s="2" t="s">
        <v>48</v>
      </c>
      <c r="E100" s="2" t="s">
        <v>432</v>
      </c>
      <c r="F100" s="2" t="s">
        <v>433</v>
      </c>
      <c r="G100" s="2" t="s">
        <v>39</v>
      </c>
      <c r="H100" s="2" t="s">
        <v>25</v>
      </c>
      <c r="I100" s="2" t="s">
        <v>434</v>
      </c>
      <c r="J100" s="2" t="s">
        <v>227</v>
      </c>
      <c r="K100" s="2">
        <v>55106</v>
      </c>
      <c r="L100" s="2" t="s">
        <v>103</v>
      </c>
      <c r="M100" s="2" t="s">
        <v>435</v>
      </c>
      <c r="N100" s="2" t="s">
        <v>44</v>
      </c>
      <c r="O100" s="2" t="s">
        <v>76</v>
      </c>
      <c r="P100" s="2" t="s">
        <v>436</v>
      </c>
      <c r="Q100" s="2">
        <v>77.88</v>
      </c>
      <c r="R100" s="2">
        <v>6</v>
      </c>
      <c r="S100" s="2">
        <v>0</v>
      </c>
      <c r="T100" s="4">
        <v>22.585199999999993</v>
      </c>
      <c r="U100">
        <f t="shared" si="1"/>
        <v>5</v>
      </c>
    </row>
    <row r="101" spans="1:21" ht="15.5" x14ac:dyDescent="0.35">
      <c r="A101" s="2" t="s">
        <v>437</v>
      </c>
      <c r="B101" s="3">
        <v>42611</v>
      </c>
      <c r="C101" s="3">
        <v>42615</v>
      </c>
      <c r="D101" s="2" t="s">
        <v>48</v>
      </c>
      <c r="E101" s="2" t="s">
        <v>438</v>
      </c>
      <c r="F101" s="2" t="s">
        <v>439</v>
      </c>
      <c r="G101" s="2" t="s">
        <v>100</v>
      </c>
      <c r="H101" s="2" t="s">
        <v>25</v>
      </c>
      <c r="I101" s="2" t="s">
        <v>301</v>
      </c>
      <c r="J101" s="2" t="s">
        <v>209</v>
      </c>
      <c r="K101" s="2">
        <v>60610</v>
      </c>
      <c r="L101" s="2" t="s">
        <v>103</v>
      </c>
      <c r="M101" s="2" t="s">
        <v>440</v>
      </c>
      <c r="N101" s="2" t="s">
        <v>44</v>
      </c>
      <c r="O101" s="2" t="s">
        <v>88</v>
      </c>
      <c r="P101" s="2" t="s">
        <v>441</v>
      </c>
      <c r="Q101" s="2">
        <v>64.623999999999995</v>
      </c>
      <c r="R101" s="2">
        <v>7</v>
      </c>
      <c r="S101" s="2">
        <v>0.2</v>
      </c>
      <c r="T101" s="4">
        <v>22.618399999999994</v>
      </c>
      <c r="U101">
        <f t="shared" si="1"/>
        <v>4</v>
      </c>
    </row>
    <row r="102" spans="1:21" ht="15.5" x14ac:dyDescent="0.35">
      <c r="A102" s="2" t="s">
        <v>437</v>
      </c>
      <c r="B102" s="3">
        <v>42611</v>
      </c>
      <c r="C102" s="3">
        <v>42615</v>
      </c>
      <c r="D102" s="2" t="s">
        <v>48</v>
      </c>
      <c r="E102" s="2" t="s">
        <v>438</v>
      </c>
      <c r="F102" s="2" t="s">
        <v>439</v>
      </c>
      <c r="G102" s="2" t="s">
        <v>100</v>
      </c>
      <c r="H102" s="2" t="s">
        <v>25</v>
      </c>
      <c r="I102" s="2" t="s">
        <v>301</v>
      </c>
      <c r="J102" s="2" t="s">
        <v>209</v>
      </c>
      <c r="K102" s="2">
        <v>60610</v>
      </c>
      <c r="L102" s="2" t="s">
        <v>103</v>
      </c>
      <c r="M102" s="2" t="s">
        <v>442</v>
      </c>
      <c r="N102" s="2" t="s">
        <v>69</v>
      </c>
      <c r="O102" s="2" t="s">
        <v>159</v>
      </c>
      <c r="P102" s="2" t="s">
        <v>443</v>
      </c>
      <c r="Q102" s="2">
        <v>95.976000000000013</v>
      </c>
      <c r="R102" s="2">
        <v>3</v>
      </c>
      <c r="S102" s="2">
        <v>0.2</v>
      </c>
      <c r="T102" s="4">
        <v>-10.797300000000011</v>
      </c>
      <c r="U102">
        <f t="shared" si="1"/>
        <v>4</v>
      </c>
    </row>
    <row r="103" spans="1:21" ht="15.5" x14ac:dyDescent="0.35">
      <c r="A103" s="2" t="s">
        <v>437</v>
      </c>
      <c r="B103" s="3">
        <v>42611</v>
      </c>
      <c r="C103" s="3">
        <v>42615</v>
      </c>
      <c r="D103" s="2" t="s">
        <v>48</v>
      </c>
      <c r="E103" s="2" t="s">
        <v>438</v>
      </c>
      <c r="F103" s="2" t="s">
        <v>439</v>
      </c>
      <c r="G103" s="2" t="s">
        <v>100</v>
      </c>
      <c r="H103" s="2" t="s">
        <v>25</v>
      </c>
      <c r="I103" s="2" t="s">
        <v>301</v>
      </c>
      <c r="J103" s="2" t="s">
        <v>209</v>
      </c>
      <c r="K103" s="2">
        <v>60610</v>
      </c>
      <c r="L103" s="2" t="s">
        <v>103</v>
      </c>
      <c r="M103" s="2" t="s">
        <v>444</v>
      </c>
      <c r="N103" s="2" t="s">
        <v>44</v>
      </c>
      <c r="O103" s="2" t="s">
        <v>73</v>
      </c>
      <c r="P103" s="2" t="s">
        <v>445</v>
      </c>
      <c r="Q103" s="2">
        <v>1.7879999999999996</v>
      </c>
      <c r="R103" s="2">
        <v>3</v>
      </c>
      <c r="S103" s="2">
        <v>0.8</v>
      </c>
      <c r="T103" s="4">
        <v>-3.0396000000000001</v>
      </c>
      <c r="U103">
        <f t="shared" si="1"/>
        <v>4</v>
      </c>
    </row>
    <row r="104" spans="1:21" ht="15.5" x14ac:dyDescent="0.35">
      <c r="A104" s="2" t="s">
        <v>446</v>
      </c>
      <c r="B104" s="3">
        <v>42705</v>
      </c>
      <c r="C104" s="3">
        <v>42708</v>
      </c>
      <c r="D104" s="2" t="s">
        <v>21</v>
      </c>
      <c r="E104" s="2" t="s">
        <v>447</v>
      </c>
      <c r="F104" s="2" t="s">
        <v>448</v>
      </c>
      <c r="G104" s="2" t="s">
        <v>24</v>
      </c>
      <c r="H104" s="2" t="s">
        <v>25</v>
      </c>
      <c r="I104" s="2" t="s">
        <v>387</v>
      </c>
      <c r="J104" s="2" t="s">
        <v>227</v>
      </c>
      <c r="K104" s="2">
        <v>55901</v>
      </c>
      <c r="L104" s="2" t="s">
        <v>103</v>
      </c>
      <c r="M104" s="2" t="s">
        <v>449</v>
      </c>
      <c r="N104" s="2" t="s">
        <v>44</v>
      </c>
      <c r="O104" s="2" t="s">
        <v>88</v>
      </c>
      <c r="P104" s="2" t="s">
        <v>450</v>
      </c>
      <c r="Q104" s="2">
        <v>23.92</v>
      </c>
      <c r="R104" s="2">
        <v>4</v>
      </c>
      <c r="S104" s="2">
        <v>0</v>
      </c>
      <c r="T104" s="4">
        <v>11.720800000000001</v>
      </c>
      <c r="U104">
        <f t="shared" si="1"/>
        <v>3</v>
      </c>
    </row>
    <row r="105" spans="1:21" ht="15.5" x14ac:dyDescent="0.35">
      <c r="A105" s="2" t="s">
        <v>451</v>
      </c>
      <c r="B105" s="3">
        <v>42321</v>
      </c>
      <c r="C105" s="3">
        <v>42325</v>
      </c>
      <c r="D105" s="2" t="s">
        <v>48</v>
      </c>
      <c r="E105" s="2" t="s">
        <v>452</v>
      </c>
      <c r="F105" s="2" t="s">
        <v>453</v>
      </c>
      <c r="G105" s="2" t="s">
        <v>24</v>
      </c>
      <c r="H105" s="2" t="s">
        <v>25</v>
      </c>
      <c r="I105" s="2" t="s">
        <v>454</v>
      </c>
      <c r="J105" s="2" t="s">
        <v>455</v>
      </c>
      <c r="K105" s="2">
        <v>80013</v>
      </c>
      <c r="L105" s="2" t="s">
        <v>42</v>
      </c>
      <c r="M105" s="2" t="s">
        <v>456</v>
      </c>
      <c r="N105" s="2" t="s">
        <v>69</v>
      </c>
      <c r="O105" s="2" t="s">
        <v>159</v>
      </c>
      <c r="P105" s="2" t="s">
        <v>457</v>
      </c>
      <c r="Q105" s="2">
        <v>238.89600000000002</v>
      </c>
      <c r="R105" s="2">
        <v>6</v>
      </c>
      <c r="S105" s="2">
        <v>0.2</v>
      </c>
      <c r="T105" s="4">
        <v>-26.875800000000012</v>
      </c>
      <c r="U105">
        <f t="shared" si="1"/>
        <v>4</v>
      </c>
    </row>
    <row r="106" spans="1:21" ht="15.5" x14ac:dyDescent="0.35">
      <c r="A106" s="2" t="s">
        <v>451</v>
      </c>
      <c r="B106" s="3">
        <v>42321</v>
      </c>
      <c r="C106" s="3">
        <v>42325</v>
      </c>
      <c r="D106" s="2" t="s">
        <v>48</v>
      </c>
      <c r="E106" s="2" t="s">
        <v>452</v>
      </c>
      <c r="F106" s="2" t="s">
        <v>453</v>
      </c>
      <c r="G106" s="2" t="s">
        <v>24</v>
      </c>
      <c r="H106" s="2" t="s">
        <v>25</v>
      </c>
      <c r="I106" s="2" t="s">
        <v>454</v>
      </c>
      <c r="J106" s="2" t="s">
        <v>455</v>
      </c>
      <c r="K106" s="2">
        <v>80013</v>
      </c>
      <c r="L106" s="2" t="s">
        <v>42</v>
      </c>
      <c r="M106" s="2" t="s">
        <v>458</v>
      </c>
      <c r="N106" s="2" t="s">
        <v>30</v>
      </c>
      <c r="O106" s="2" t="s">
        <v>63</v>
      </c>
      <c r="P106" s="2" t="s">
        <v>459</v>
      </c>
      <c r="Q106" s="2">
        <v>102.35999999999999</v>
      </c>
      <c r="R106" s="2">
        <v>3</v>
      </c>
      <c r="S106" s="2">
        <v>0.2</v>
      </c>
      <c r="T106" s="4">
        <v>-3.8385000000000105</v>
      </c>
      <c r="U106">
        <f t="shared" si="1"/>
        <v>4</v>
      </c>
    </row>
    <row r="107" spans="1:21" ht="15.5" x14ac:dyDescent="0.35">
      <c r="A107" s="2" t="s">
        <v>451</v>
      </c>
      <c r="B107" s="3">
        <v>42321</v>
      </c>
      <c r="C107" s="3">
        <v>42325</v>
      </c>
      <c r="D107" s="2" t="s">
        <v>48</v>
      </c>
      <c r="E107" s="2" t="s">
        <v>452</v>
      </c>
      <c r="F107" s="2" t="s">
        <v>453</v>
      </c>
      <c r="G107" s="2" t="s">
        <v>24</v>
      </c>
      <c r="H107" s="2" t="s">
        <v>25</v>
      </c>
      <c r="I107" s="2" t="s">
        <v>454</v>
      </c>
      <c r="J107" s="2" t="s">
        <v>455</v>
      </c>
      <c r="K107" s="2">
        <v>80013</v>
      </c>
      <c r="L107" s="2" t="s">
        <v>42</v>
      </c>
      <c r="M107" s="2" t="s">
        <v>460</v>
      </c>
      <c r="N107" s="2" t="s">
        <v>44</v>
      </c>
      <c r="O107" s="2" t="s">
        <v>73</v>
      </c>
      <c r="P107" s="2" t="s">
        <v>461</v>
      </c>
      <c r="Q107" s="2">
        <v>36.882000000000005</v>
      </c>
      <c r="R107" s="2">
        <v>3</v>
      </c>
      <c r="S107" s="2">
        <v>0.7</v>
      </c>
      <c r="T107" s="4">
        <v>-25.817399999999999</v>
      </c>
      <c r="U107">
        <f t="shared" si="1"/>
        <v>4</v>
      </c>
    </row>
    <row r="108" spans="1:21" ht="15.5" x14ac:dyDescent="0.35">
      <c r="A108" s="2" t="s">
        <v>462</v>
      </c>
      <c r="B108" s="3">
        <v>43062</v>
      </c>
      <c r="C108" s="3">
        <v>43067</v>
      </c>
      <c r="D108" s="2" t="s">
        <v>48</v>
      </c>
      <c r="E108" s="2" t="s">
        <v>463</v>
      </c>
      <c r="F108" s="2" t="s">
        <v>464</v>
      </c>
      <c r="G108" s="2" t="s">
        <v>24</v>
      </c>
      <c r="H108" s="2" t="s">
        <v>25</v>
      </c>
      <c r="I108" s="2" t="s">
        <v>465</v>
      </c>
      <c r="J108" s="2" t="s">
        <v>86</v>
      </c>
      <c r="K108" s="2">
        <v>28205</v>
      </c>
      <c r="L108" s="2" t="s">
        <v>28</v>
      </c>
      <c r="M108" s="2" t="s">
        <v>466</v>
      </c>
      <c r="N108" s="2" t="s">
        <v>69</v>
      </c>
      <c r="O108" s="2" t="s">
        <v>159</v>
      </c>
      <c r="P108" s="2" t="s">
        <v>467</v>
      </c>
      <c r="Q108" s="2">
        <v>74.112000000000009</v>
      </c>
      <c r="R108" s="2">
        <v>8</v>
      </c>
      <c r="S108" s="2">
        <v>0.2</v>
      </c>
      <c r="T108" s="4">
        <v>17.601600000000001</v>
      </c>
      <c r="U108">
        <f t="shared" si="1"/>
        <v>5</v>
      </c>
    </row>
    <row r="109" spans="1:21" ht="15.5" x14ac:dyDescent="0.35">
      <c r="A109" s="2" t="s">
        <v>462</v>
      </c>
      <c r="B109" s="3">
        <v>43062</v>
      </c>
      <c r="C109" s="3">
        <v>43067</v>
      </c>
      <c r="D109" s="2" t="s">
        <v>48</v>
      </c>
      <c r="E109" s="2" t="s">
        <v>463</v>
      </c>
      <c r="F109" s="2" t="s">
        <v>464</v>
      </c>
      <c r="G109" s="2" t="s">
        <v>24</v>
      </c>
      <c r="H109" s="2" t="s">
        <v>25</v>
      </c>
      <c r="I109" s="2" t="s">
        <v>465</v>
      </c>
      <c r="J109" s="2" t="s">
        <v>86</v>
      </c>
      <c r="K109" s="2">
        <v>28205</v>
      </c>
      <c r="L109" s="2" t="s">
        <v>28</v>
      </c>
      <c r="M109" s="2" t="s">
        <v>468</v>
      </c>
      <c r="N109" s="2" t="s">
        <v>69</v>
      </c>
      <c r="O109" s="2" t="s">
        <v>70</v>
      </c>
      <c r="P109" s="2" t="s">
        <v>469</v>
      </c>
      <c r="Q109" s="2">
        <v>27.992000000000004</v>
      </c>
      <c r="R109" s="2">
        <v>1</v>
      </c>
      <c r="S109" s="2">
        <v>0.2</v>
      </c>
      <c r="T109" s="4">
        <v>2.0993999999999993</v>
      </c>
      <c r="U109">
        <f t="shared" si="1"/>
        <v>5</v>
      </c>
    </row>
    <row r="110" spans="1:21" ht="15.5" x14ac:dyDescent="0.35">
      <c r="A110" s="2" t="s">
        <v>462</v>
      </c>
      <c r="B110" s="3">
        <v>43062</v>
      </c>
      <c r="C110" s="3">
        <v>43067</v>
      </c>
      <c r="D110" s="2" t="s">
        <v>48</v>
      </c>
      <c r="E110" s="2" t="s">
        <v>463</v>
      </c>
      <c r="F110" s="2" t="s">
        <v>464</v>
      </c>
      <c r="G110" s="2" t="s">
        <v>24</v>
      </c>
      <c r="H110" s="2" t="s">
        <v>25</v>
      </c>
      <c r="I110" s="2" t="s">
        <v>465</v>
      </c>
      <c r="J110" s="2" t="s">
        <v>86</v>
      </c>
      <c r="K110" s="2">
        <v>28205</v>
      </c>
      <c r="L110" s="2" t="s">
        <v>28</v>
      </c>
      <c r="M110" s="2" t="s">
        <v>470</v>
      </c>
      <c r="N110" s="2" t="s">
        <v>44</v>
      </c>
      <c r="O110" s="2" t="s">
        <v>66</v>
      </c>
      <c r="P110" s="2" t="s">
        <v>471</v>
      </c>
      <c r="Q110" s="2">
        <v>3.3040000000000003</v>
      </c>
      <c r="R110" s="2">
        <v>1</v>
      </c>
      <c r="S110" s="2">
        <v>0.2</v>
      </c>
      <c r="T110" s="4">
        <v>1.0737999999999999</v>
      </c>
      <c r="U110">
        <f t="shared" si="1"/>
        <v>5</v>
      </c>
    </row>
    <row r="111" spans="1:21" ht="15.5" x14ac:dyDescent="0.35">
      <c r="A111" s="2" t="s">
        <v>472</v>
      </c>
      <c r="B111" s="3">
        <v>42292</v>
      </c>
      <c r="C111" s="3">
        <v>42297</v>
      </c>
      <c r="D111" s="2" t="s">
        <v>48</v>
      </c>
      <c r="E111" s="2" t="s">
        <v>473</v>
      </c>
      <c r="F111" s="2" t="s">
        <v>474</v>
      </c>
      <c r="G111" s="2" t="s">
        <v>100</v>
      </c>
      <c r="H111" s="2" t="s">
        <v>25</v>
      </c>
      <c r="I111" s="2" t="s">
        <v>475</v>
      </c>
      <c r="J111" s="2" t="s">
        <v>209</v>
      </c>
      <c r="K111" s="2">
        <v>60462</v>
      </c>
      <c r="L111" s="2" t="s">
        <v>103</v>
      </c>
      <c r="M111" s="2" t="s">
        <v>476</v>
      </c>
      <c r="N111" s="2" t="s">
        <v>69</v>
      </c>
      <c r="O111" s="2" t="s">
        <v>159</v>
      </c>
      <c r="P111" s="2" t="s">
        <v>477</v>
      </c>
      <c r="Q111" s="2">
        <v>339.96000000000004</v>
      </c>
      <c r="R111" s="2">
        <v>5</v>
      </c>
      <c r="S111" s="2">
        <v>0.2</v>
      </c>
      <c r="T111" s="4">
        <v>67.991999999999962</v>
      </c>
      <c r="U111">
        <f t="shared" si="1"/>
        <v>5</v>
      </c>
    </row>
    <row r="112" spans="1:21" ht="15.5" x14ac:dyDescent="0.35">
      <c r="A112" s="2" t="s">
        <v>478</v>
      </c>
      <c r="B112" s="3">
        <v>43094</v>
      </c>
      <c r="C112" s="3">
        <v>43099</v>
      </c>
      <c r="D112" s="2" t="s">
        <v>48</v>
      </c>
      <c r="E112" s="2" t="s">
        <v>479</v>
      </c>
      <c r="F112" s="2" t="s">
        <v>480</v>
      </c>
      <c r="G112" s="2" t="s">
        <v>39</v>
      </c>
      <c r="H112" s="2" t="s">
        <v>25</v>
      </c>
      <c r="I112" s="2" t="s">
        <v>264</v>
      </c>
      <c r="J112" s="2" t="s">
        <v>265</v>
      </c>
      <c r="K112" s="2">
        <v>10035</v>
      </c>
      <c r="L112" s="2" t="s">
        <v>146</v>
      </c>
      <c r="M112" s="2" t="s">
        <v>481</v>
      </c>
      <c r="N112" s="2" t="s">
        <v>30</v>
      </c>
      <c r="O112" s="2" t="s">
        <v>63</v>
      </c>
      <c r="P112" s="2" t="s">
        <v>482</v>
      </c>
      <c r="Q112" s="2">
        <v>41.96</v>
      </c>
      <c r="R112" s="2">
        <v>2</v>
      </c>
      <c r="S112" s="2">
        <v>0</v>
      </c>
      <c r="T112" s="4">
        <v>10.909600000000001</v>
      </c>
      <c r="U112">
        <f t="shared" si="1"/>
        <v>5</v>
      </c>
    </row>
    <row r="113" spans="1:21" ht="15.5" x14ac:dyDescent="0.35">
      <c r="A113" s="2" t="s">
        <v>483</v>
      </c>
      <c r="B113" s="3">
        <v>42677</v>
      </c>
      <c r="C113" s="3">
        <v>42684</v>
      </c>
      <c r="D113" s="2" t="s">
        <v>48</v>
      </c>
      <c r="E113" s="2" t="s">
        <v>484</v>
      </c>
      <c r="F113" s="2" t="s">
        <v>485</v>
      </c>
      <c r="G113" s="2" t="s">
        <v>24</v>
      </c>
      <c r="H113" s="2" t="s">
        <v>25</v>
      </c>
      <c r="I113" s="2" t="s">
        <v>486</v>
      </c>
      <c r="J113" s="2" t="s">
        <v>487</v>
      </c>
      <c r="K113" s="2">
        <v>50322</v>
      </c>
      <c r="L113" s="2" t="s">
        <v>103</v>
      </c>
      <c r="M113" s="2" t="s">
        <v>488</v>
      </c>
      <c r="N113" s="2" t="s">
        <v>44</v>
      </c>
      <c r="O113" s="2" t="s">
        <v>66</v>
      </c>
      <c r="P113" s="2" t="s">
        <v>489</v>
      </c>
      <c r="Q113" s="2">
        <v>75.959999999999994</v>
      </c>
      <c r="R113" s="2">
        <v>2</v>
      </c>
      <c r="S113" s="2">
        <v>0</v>
      </c>
      <c r="T113" s="4">
        <v>22.78799999999999</v>
      </c>
      <c r="U113">
        <f t="shared" si="1"/>
        <v>7</v>
      </c>
    </row>
    <row r="114" spans="1:21" ht="15.5" x14ac:dyDescent="0.35">
      <c r="A114" s="2" t="s">
        <v>483</v>
      </c>
      <c r="B114" s="3">
        <v>42677</v>
      </c>
      <c r="C114" s="3">
        <v>42684</v>
      </c>
      <c r="D114" s="2" t="s">
        <v>48</v>
      </c>
      <c r="E114" s="2" t="s">
        <v>484</v>
      </c>
      <c r="F114" s="2" t="s">
        <v>485</v>
      </c>
      <c r="G114" s="2" t="s">
        <v>24</v>
      </c>
      <c r="H114" s="2" t="s">
        <v>25</v>
      </c>
      <c r="I114" s="2" t="s">
        <v>486</v>
      </c>
      <c r="J114" s="2" t="s">
        <v>487</v>
      </c>
      <c r="K114" s="2">
        <v>50322</v>
      </c>
      <c r="L114" s="2" t="s">
        <v>103</v>
      </c>
      <c r="M114" s="2" t="s">
        <v>490</v>
      </c>
      <c r="N114" s="2" t="s">
        <v>44</v>
      </c>
      <c r="O114" s="2" t="s">
        <v>73</v>
      </c>
      <c r="P114" s="2" t="s">
        <v>491</v>
      </c>
      <c r="Q114" s="2">
        <v>27.240000000000002</v>
      </c>
      <c r="R114" s="2">
        <v>6</v>
      </c>
      <c r="S114" s="2">
        <v>0</v>
      </c>
      <c r="T114" s="4">
        <v>13.3476</v>
      </c>
      <c r="U114">
        <f t="shared" si="1"/>
        <v>7</v>
      </c>
    </row>
    <row r="115" spans="1:21" ht="15.5" x14ac:dyDescent="0.35">
      <c r="A115" s="2" t="s">
        <v>492</v>
      </c>
      <c r="B115" s="3">
        <v>41876</v>
      </c>
      <c r="C115" s="3">
        <v>41878</v>
      </c>
      <c r="D115" s="2" t="s">
        <v>21</v>
      </c>
      <c r="E115" s="2" t="s">
        <v>493</v>
      </c>
      <c r="F115" s="2" t="s">
        <v>494</v>
      </c>
      <c r="G115" s="2" t="s">
        <v>24</v>
      </c>
      <c r="H115" s="2" t="s">
        <v>25</v>
      </c>
      <c r="I115" s="2" t="s">
        <v>495</v>
      </c>
      <c r="J115" s="2" t="s">
        <v>496</v>
      </c>
      <c r="K115" s="2">
        <v>43229</v>
      </c>
      <c r="L115" s="2" t="s">
        <v>146</v>
      </c>
      <c r="M115" s="2" t="s">
        <v>497</v>
      </c>
      <c r="N115" s="2" t="s">
        <v>44</v>
      </c>
      <c r="O115" s="2" t="s">
        <v>267</v>
      </c>
      <c r="P115" s="2" t="s">
        <v>498</v>
      </c>
      <c r="Q115" s="2">
        <v>40.096000000000004</v>
      </c>
      <c r="R115" s="2">
        <v>14</v>
      </c>
      <c r="S115" s="2">
        <v>0.2</v>
      </c>
      <c r="T115" s="4">
        <v>14.534799999999997</v>
      </c>
      <c r="U115">
        <f t="shared" si="1"/>
        <v>2</v>
      </c>
    </row>
    <row r="116" spans="1:21" ht="15.5" x14ac:dyDescent="0.35">
      <c r="A116" s="2" t="s">
        <v>492</v>
      </c>
      <c r="B116" s="3">
        <v>41876</v>
      </c>
      <c r="C116" s="3">
        <v>41878</v>
      </c>
      <c r="D116" s="2" t="s">
        <v>21</v>
      </c>
      <c r="E116" s="2" t="s">
        <v>493</v>
      </c>
      <c r="F116" s="2" t="s">
        <v>494</v>
      </c>
      <c r="G116" s="2" t="s">
        <v>24</v>
      </c>
      <c r="H116" s="2" t="s">
        <v>25</v>
      </c>
      <c r="I116" s="2" t="s">
        <v>495</v>
      </c>
      <c r="J116" s="2" t="s">
        <v>496</v>
      </c>
      <c r="K116" s="2">
        <v>43229</v>
      </c>
      <c r="L116" s="2" t="s">
        <v>146</v>
      </c>
      <c r="M116" s="2" t="s">
        <v>499</v>
      </c>
      <c r="N116" s="2" t="s">
        <v>44</v>
      </c>
      <c r="O116" s="2" t="s">
        <v>171</v>
      </c>
      <c r="P116" s="2" t="s">
        <v>500</v>
      </c>
      <c r="Q116" s="2">
        <v>4.7200000000000006</v>
      </c>
      <c r="R116" s="2">
        <v>2</v>
      </c>
      <c r="S116" s="2">
        <v>0.2</v>
      </c>
      <c r="T116" s="4">
        <v>1.6519999999999997</v>
      </c>
      <c r="U116">
        <f t="shared" si="1"/>
        <v>2</v>
      </c>
    </row>
    <row r="117" spans="1:21" ht="15.5" x14ac:dyDescent="0.35">
      <c r="A117" s="2" t="s">
        <v>492</v>
      </c>
      <c r="B117" s="3">
        <v>41876</v>
      </c>
      <c r="C117" s="3">
        <v>41878</v>
      </c>
      <c r="D117" s="2" t="s">
        <v>21</v>
      </c>
      <c r="E117" s="2" t="s">
        <v>493</v>
      </c>
      <c r="F117" s="2" t="s">
        <v>494</v>
      </c>
      <c r="G117" s="2" t="s">
        <v>24</v>
      </c>
      <c r="H117" s="2" t="s">
        <v>25</v>
      </c>
      <c r="I117" s="2" t="s">
        <v>495</v>
      </c>
      <c r="J117" s="2" t="s">
        <v>496</v>
      </c>
      <c r="K117" s="2">
        <v>43229</v>
      </c>
      <c r="L117" s="2" t="s">
        <v>146</v>
      </c>
      <c r="M117" s="2" t="s">
        <v>501</v>
      </c>
      <c r="N117" s="2" t="s">
        <v>44</v>
      </c>
      <c r="O117" s="2" t="s">
        <v>88</v>
      </c>
      <c r="P117" s="2" t="s">
        <v>502</v>
      </c>
      <c r="Q117" s="2">
        <v>23.976000000000003</v>
      </c>
      <c r="R117" s="2">
        <v>3</v>
      </c>
      <c r="S117" s="2">
        <v>0.2</v>
      </c>
      <c r="T117" s="4">
        <v>7.4924999999999988</v>
      </c>
      <c r="U117">
        <f t="shared" si="1"/>
        <v>2</v>
      </c>
    </row>
    <row r="118" spans="1:21" ht="15.5" x14ac:dyDescent="0.35">
      <c r="A118" s="2" t="s">
        <v>492</v>
      </c>
      <c r="B118" s="3">
        <v>41876</v>
      </c>
      <c r="C118" s="3">
        <v>41878</v>
      </c>
      <c r="D118" s="2" t="s">
        <v>21</v>
      </c>
      <c r="E118" s="2" t="s">
        <v>493</v>
      </c>
      <c r="F118" s="2" t="s">
        <v>494</v>
      </c>
      <c r="G118" s="2" t="s">
        <v>24</v>
      </c>
      <c r="H118" s="2" t="s">
        <v>25</v>
      </c>
      <c r="I118" s="2" t="s">
        <v>495</v>
      </c>
      <c r="J118" s="2" t="s">
        <v>496</v>
      </c>
      <c r="K118" s="2">
        <v>43229</v>
      </c>
      <c r="L118" s="2" t="s">
        <v>146</v>
      </c>
      <c r="M118" s="2" t="s">
        <v>503</v>
      </c>
      <c r="N118" s="2" t="s">
        <v>44</v>
      </c>
      <c r="O118" s="2" t="s">
        <v>171</v>
      </c>
      <c r="P118" s="2" t="s">
        <v>504</v>
      </c>
      <c r="Q118" s="2">
        <v>130.464</v>
      </c>
      <c r="R118" s="2">
        <v>6</v>
      </c>
      <c r="S118" s="2">
        <v>0.2</v>
      </c>
      <c r="T118" s="4">
        <v>44.031599999999997</v>
      </c>
      <c r="U118">
        <f t="shared" si="1"/>
        <v>2</v>
      </c>
    </row>
    <row r="119" spans="1:21" ht="15.5" x14ac:dyDescent="0.35">
      <c r="A119" s="2" t="s">
        <v>505</v>
      </c>
      <c r="B119" s="3">
        <v>42065</v>
      </c>
      <c r="C119" s="3">
        <v>42069</v>
      </c>
      <c r="D119" s="2" t="s">
        <v>48</v>
      </c>
      <c r="E119" s="2" t="s">
        <v>506</v>
      </c>
      <c r="F119" s="2" t="s">
        <v>507</v>
      </c>
      <c r="G119" s="2" t="s">
        <v>24</v>
      </c>
      <c r="H119" s="2" t="s">
        <v>25</v>
      </c>
      <c r="I119" s="2" t="s">
        <v>93</v>
      </c>
      <c r="J119" s="2" t="s">
        <v>94</v>
      </c>
      <c r="K119" s="2">
        <v>98103</v>
      </c>
      <c r="L119" s="2" t="s">
        <v>42</v>
      </c>
      <c r="M119" s="2" t="s">
        <v>508</v>
      </c>
      <c r="N119" s="2" t="s">
        <v>30</v>
      </c>
      <c r="O119" s="2" t="s">
        <v>54</v>
      </c>
      <c r="P119" s="2" t="s">
        <v>509</v>
      </c>
      <c r="Q119" s="2">
        <v>787.53</v>
      </c>
      <c r="R119" s="2">
        <v>3</v>
      </c>
      <c r="S119" s="2">
        <v>0</v>
      </c>
      <c r="T119" s="4">
        <v>165.38129999999995</v>
      </c>
      <c r="U119">
        <f t="shared" si="1"/>
        <v>4</v>
      </c>
    </row>
    <row r="120" spans="1:21" ht="15.5" x14ac:dyDescent="0.35">
      <c r="A120" s="2" t="s">
        <v>510</v>
      </c>
      <c r="B120" s="3">
        <v>42099</v>
      </c>
      <c r="C120" s="3">
        <v>42104</v>
      </c>
      <c r="D120" s="2" t="s">
        <v>48</v>
      </c>
      <c r="E120" s="2" t="s">
        <v>511</v>
      </c>
      <c r="F120" s="2" t="s">
        <v>512</v>
      </c>
      <c r="G120" s="2" t="s">
        <v>39</v>
      </c>
      <c r="H120" s="2" t="s">
        <v>25</v>
      </c>
      <c r="I120" s="2" t="s">
        <v>513</v>
      </c>
      <c r="J120" s="2" t="s">
        <v>333</v>
      </c>
      <c r="K120" s="2">
        <v>37620</v>
      </c>
      <c r="L120" s="2" t="s">
        <v>28</v>
      </c>
      <c r="M120" s="2" t="s">
        <v>514</v>
      </c>
      <c r="N120" s="2" t="s">
        <v>44</v>
      </c>
      <c r="O120" s="2" t="s">
        <v>73</v>
      </c>
      <c r="P120" s="2" t="s">
        <v>515</v>
      </c>
      <c r="Q120" s="2">
        <v>157.79400000000004</v>
      </c>
      <c r="R120" s="2">
        <v>1</v>
      </c>
      <c r="S120" s="2">
        <v>0.7</v>
      </c>
      <c r="T120" s="4">
        <v>-115.71559999999999</v>
      </c>
      <c r="U120">
        <f t="shared" si="1"/>
        <v>5</v>
      </c>
    </row>
    <row r="121" spans="1:21" ht="15.5" x14ac:dyDescent="0.35">
      <c r="A121" s="2" t="s">
        <v>516</v>
      </c>
      <c r="B121" s="3">
        <v>42533</v>
      </c>
      <c r="C121" s="3">
        <v>42536</v>
      </c>
      <c r="D121" s="2" t="s">
        <v>186</v>
      </c>
      <c r="E121" s="2" t="s">
        <v>517</v>
      </c>
      <c r="F121" s="2" t="s">
        <v>518</v>
      </c>
      <c r="G121" s="2" t="s">
        <v>24</v>
      </c>
      <c r="H121" s="2" t="s">
        <v>25</v>
      </c>
      <c r="I121" s="2" t="s">
        <v>519</v>
      </c>
      <c r="J121" s="2" t="s">
        <v>243</v>
      </c>
      <c r="K121" s="2">
        <v>19805</v>
      </c>
      <c r="L121" s="2" t="s">
        <v>146</v>
      </c>
      <c r="M121" s="2" t="s">
        <v>520</v>
      </c>
      <c r="N121" s="2" t="s">
        <v>30</v>
      </c>
      <c r="O121" s="2" t="s">
        <v>63</v>
      </c>
      <c r="P121" s="2" t="s">
        <v>521</v>
      </c>
      <c r="Q121" s="2">
        <v>47.04</v>
      </c>
      <c r="R121" s="2">
        <v>3</v>
      </c>
      <c r="S121" s="2">
        <v>0</v>
      </c>
      <c r="T121" s="4">
        <v>18.345599999999997</v>
      </c>
      <c r="U121">
        <f t="shared" si="1"/>
        <v>3</v>
      </c>
    </row>
    <row r="122" spans="1:21" ht="15.5" x14ac:dyDescent="0.35">
      <c r="A122" s="2" t="s">
        <v>516</v>
      </c>
      <c r="B122" s="3">
        <v>42533</v>
      </c>
      <c r="C122" s="3">
        <v>42536</v>
      </c>
      <c r="D122" s="2" t="s">
        <v>186</v>
      </c>
      <c r="E122" s="2" t="s">
        <v>517</v>
      </c>
      <c r="F122" s="2" t="s">
        <v>518</v>
      </c>
      <c r="G122" s="2" t="s">
        <v>24</v>
      </c>
      <c r="H122" s="2" t="s">
        <v>25</v>
      </c>
      <c r="I122" s="2" t="s">
        <v>519</v>
      </c>
      <c r="J122" s="2" t="s">
        <v>243</v>
      </c>
      <c r="K122" s="2">
        <v>19805</v>
      </c>
      <c r="L122" s="2" t="s">
        <v>146</v>
      </c>
      <c r="M122" s="2" t="s">
        <v>72</v>
      </c>
      <c r="N122" s="2" t="s">
        <v>44</v>
      </c>
      <c r="O122" s="2" t="s">
        <v>73</v>
      </c>
      <c r="P122" s="2" t="s">
        <v>74</v>
      </c>
      <c r="Q122" s="2">
        <v>30.84</v>
      </c>
      <c r="R122" s="2">
        <v>4</v>
      </c>
      <c r="S122" s="2">
        <v>0</v>
      </c>
      <c r="T122" s="4">
        <v>13.878</v>
      </c>
      <c r="U122">
        <f t="shared" si="1"/>
        <v>3</v>
      </c>
    </row>
    <row r="123" spans="1:21" ht="15.5" x14ac:dyDescent="0.35">
      <c r="A123" s="2" t="s">
        <v>516</v>
      </c>
      <c r="B123" s="3">
        <v>42533</v>
      </c>
      <c r="C123" s="3">
        <v>42536</v>
      </c>
      <c r="D123" s="2" t="s">
        <v>186</v>
      </c>
      <c r="E123" s="2" t="s">
        <v>517</v>
      </c>
      <c r="F123" s="2" t="s">
        <v>518</v>
      </c>
      <c r="G123" s="2" t="s">
        <v>24</v>
      </c>
      <c r="H123" s="2" t="s">
        <v>25</v>
      </c>
      <c r="I123" s="2" t="s">
        <v>519</v>
      </c>
      <c r="J123" s="2" t="s">
        <v>243</v>
      </c>
      <c r="K123" s="2">
        <v>19805</v>
      </c>
      <c r="L123" s="2" t="s">
        <v>146</v>
      </c>
      <c r="M123" s="2" t="s">
        <v>522</v>
      </c>
      <c r="N123" s="2" t="s">
        <v>44</v>
      </c>
      <c r="O123" s="2" t="s">
        <v>57</v>
      </c>
      <c r="P123" s="2" t="s">
        <v>523</v>
      </c>
      <c r="Q123" s="2">
        <v>226.56</v>
      </c>
      <c r="R123" s="2">
        <v>6</v>
      </c>
      <c r="S123" s="2">
        <v>0</v>
      </c>
      <c r="T123" s="4">
        <v>63.436800000000005</v>
      </c>
      <c r="U123">
        <f t="shared" si="1"/>
        <v>3</v>
      </c>
    </row>
    <row r="124" spans="1:21" ht="15.5" x14ac:dyDescent="0.35">
      <c r="A124" s="2" t="s">
        <v>516</v>
      </c>
      <c r="B124" s="3">
        <v>42533</v>
      </c>
      <c r="C124" s="3">
        <v>42536</v>
      </c>
      <c r="D124" s="2" t="s">
        <v>186</v>
      </c>
      <c r="E124" s="2" t="s">
        <v>517</v>
      </c>
      <c r="F124" s="2" t="s">
        <v>518</v>
      </c>
      <c r="G124" s="2" t="s">
        <v>24</v>
      </c>
      <c r="H124" s="2" t="s">
        <v>25</v>
      </c>
      <c r="I124" s="2" t="s">
        <v>519</v>
      </c>
      <c r="J124" s="2" t="s">
        <v>243</v>
      </c>
      <c r="K124" s="2">
        <v>19805</v>
      </c>
      <c r="L124" s="2" t="s">
        <v>146</v>
      </c>
      <c r="M124" s="2" t="s">
        <v>524</v>
      </c>
      <c r="N124" s="2" t="s">
        <v>44</v>
      </c>
      <c r="O124" s="2" t="s">
        <v>171</v>
      </c>
      <c r="P124" s="2" t="s">
        <v>525</v>
      </c>
      <c r="Q124" s="2">
        <v>115.02</v>
      </c>
      <c r="R124" s="2">
        <v>9</v>
      </c>
      <c r="S124" s="2">
        <v>0</v>
      </c>
      <c r="T124" s="4">
        <v>51.758999999999993</v>
      </c>
      <c r="U124">
        <f t="shared" si="1"/>
        <v>3</v>
      </c>
    </row>
    <row r="125" spans="1:21" ht="15.5" x14ac:dyDescent="0.35">
      <c r="A125" s="2" t="s">
        <v>516</v>
      </c>
      <c r="B125" s="3">
        <v>42533</v>
      </c>
      <c r="C125" s="3">
        <v>42536</v>
      </c>
      <c r="D125" s="2" t="s">
        <v>186</v>
      </c>
      <c r="E125" s="2" t="s">
        <v>517</v>
      </c>
      <c r="F125" s="2" t="s">
        <v>518</v>
      </c>
      <c r="G125" s="2" t="s">
        <v>24</v>
      </c>
      <c r="H125" s="2" t="s">
        <v>25</v>
      </c>
      <c r="I125" s="2" t="s">
        <v>519</v>
      </c>
      <c r="J125" s="2" t="s">
        <v>243</v>
      </c>
      <c r="K125" s="2">
        <v>19805</v>
      </c>
      <c r="L125" s="2" t="s">
        <v>146</v>
      </c>
      <c r="M125" s="2" t="s">
        <v>526</v>
      </c>
      <c r="N125" s="2" t="s">
        <v>69</v>
      </c>
      <c r="O125" s="2" t="s">
        <v>70</v>
      </c>
      <c r="P125" s="2" t="s">
        <v>527</v>
      </c>
      <c r="Q125" s="2">
        <v>68.040000000000006</v>
      </c>
      <c r="R125" s="2">
        <v>7</v>
      </c>
      <c r="S125" s="2">
        <v>0</v>
      </c>
      <c r="T125" s="4">
        <v>19.731599999999997</v>
      </c>
      <c r="U125">
        <f t="shared" si="1"/>
        <v>3</v>
      </c>
    </row>
    <row r="126" spans="1:21" ht="15.5" x14ac:dyDescent="0.35">
      <c r="A126" s="2" t="s">
        <v>528</v>
      </c>
      <c r="B126" s="3">
        <v>41999</v>
      </c>
      <c r="C126" s="3">
        <v>42001</v>
      </c>
      <c r="D126" s="2" t="s">
        <v>21</v>
      </c>
      <c r="E126" s="2" t="s">
        <v>529</v>
      </c>
      <c r="F126" s="2" t="s">
        <v>530</v>
      </c>
      <c r="G126" s="2" t="s">
        <v>100</v>
      </c>
      <c r="H126" s="2" t="s">
        <v>25</v>
      </c>
      <c r="I126" s="2" t="s">
        <v>182</v>
      </c>
      <c r="J126" s="2" t="s">
        <v>102</v>
      </c>
      <c r="K126" s="2">
        <v>77041</v>
      </c>
      <c r="L126" s="2" t="s">
        <v>103</v>
      </c>
      <c r="M126" s="2" t="s">
        <v>531</v>
      </c>
      <c r="N126" s="2" t="s">
        <v>30</v>
      </c>
      <c r="O126" s="2" t="s">
        <v>34</v>
      </c>
      <c r="P126" s="2" t="s">
        <v>532</v>
      </c>
      <c r="Q126" s="2">
        <v>600.55799999999999</v>
      </c>
      <c r="R126" s="2">
        <v>3</v>
      </c>
      <c r="S126" s="2">
        <v>0.3</v>
      </c>
      <c r="T126" s="4">
        <v>-8.5794000000000779</v>
      </c>
      <c r="U126">
        <f t="shared" si="1"/>
        <v>2</v>
      </c>
    </row>
    <row r="127" spans="1:21" ht="15.5" x14ac:dyDescent="0.35">
      <c r="A127" s="2" t="s">
        <v>533</v>
      </c>
      <c r="B127" s="3">
        <v>41902</v>
      </c>
      <c r="C127" s="3">
        <v>41907</v>
      </c>
      <c r="D127" s="2" t="s">
        <v>48</v>
      </c>
      <c r="E127" s="2" t="s">
        <v>534</v>
      </c>
      <c r="F127" s="2" t="s">
        <v>535</v>
      </c>
      <c r="G127" s="2" t="s">
        <v>24</v>
      </c>
      <c r="H127" s="2" t="s">
        <v>25</v>
      </c>
      <c r="I127" s="2" t="s">
        <v>536</v>
      </c>
      <c r="J127" s="2" t="s">
        <v>209</v>
      </c>
      <c r="K127" s="2">
        <v>61701</v>
      </c>
      <c r="L127" s="2" t="s">
        <v>103</v>
      </c>
      <c r="M127" s="2" t="s">
        <v>537</v>
      </c>
      <c r="N127" s="2" t="s">
        <v>30</v>
      </c>
      <c r="O127" s="2" t="s">
        <v>54</v>
      </c>
      <c r="P127" s="2" t="s">
        <v>538</v>
      </c>
      <c r="Q127" s="2">
        <v>617.70000000000005</v>
      </c>
      <c r="R127" s="2">
        <v>6</v>
      </c>
      <c r="S127" s="2">
        <v>0.5</v>
      </c>
      <c r="T127" s="4">
        <v>-407.68200000000013</v>
      </c>
      <c r="U127">
        <f t="shared" si="1"/>
        <v>5</v>
      </c>
    </row>
    <row r="128" spans="1:21" ht="15.5" x14ac:dyDescent="0.35">
      <c r="A128" s="2" t="s">
        <v>539</v>
      </c>
      <c r="B128" s="3">
        <v>43044</v>
      </c>
      <c r="C128" s="3">
        <v>43051</v>
      </c>
      <c r="D128" s="2" t="s">
        <v>48</v>
      </c>
      <c r="E128" s="2" t="s">
        <v>540</v>
      </c>
      <c r="F128" s="2" t="s">
        <v>541</v>
      </c>
      <c r="G128" s="2" t="s">
        <v>24</v>
      </c>
      <c r="H128" s="2" t="s">
        <v>25</v>
      </c>
      <c r="I128" s="2" t="s">
        <v>542</v>
      </c>
      <c r="J128" s="2" t="s">
        <v>308</v>
      </c>
      <c r="K128" s="2">
        <v>85023</v>
      </c>
      <c r="L128" s="2" t="s">
        <v>42</v>
      </c>
      <c r="M128" s="2" t="s">
        <v>543</v>
      </c>
      <c r="N128" s="2" t="s">
        <v>44</v>
      </c>
      <c r="O128" s="2" t="s">
        <v>73</v>
      </c>
      <c r="P128" s="2" t="s">
        <v>544</v>
      </c>
      <c r="Q128" s="2">
        <v>2.3880000000000003</v>
      </c>
      <c r="R128" s="2">
        <v>2</v>
      </c>
      <c r="S128" s="2">
        <v>0.7</v>
      </c>
      <c r="T128" s="4">
        <v>-1.8308</v>
      </c>
      <c r="U128">
        <f t="shared" si="1"/>
        <v>7</v>
      </c>
    </row>
    <row r="129" spans="1:21" ht="15.5" x14ac:dyDescent="0.35">
      <c r="A129" s="2" t="s">
        <v>539</v>
      </c>
      <c r="B129" s="3">
        <v>43044</v>
      </c>
      <c r="C129" s="3">
        <v>43051</v>
      </c>
      <c r="D129" s="2" t="s">
        <v>48</v>
      </c>
      <c r="E129" s="2" t="s">
        <v>540</v>
      </c>
      <c r="F129" s="2" t="s">
        <v>541</v>
      </c>
      <c r="G129" s="2" t="s">
        <v>24</v>
      </c>
      <c r="H129" s="2" t="s">
        <v>25</v>
      </c>
      <c r="I129" s="2" t="s">
        <v>542</v>
      </c>
      <c r="J129" s="2" t="s">
        <v>308</v>
      </c>
      <c r="K129" s="2">
        <v>85023</v>
      </c>
      <c r="L129" s="2" t="s">
        <v>42</v>
      </c>
      <c r="M129" s="2" t="s">
        <v>545</v>
      </c>
      <c r="N129" s="2" t="s">
        <v>44</v>
      </c>
      <c r="O129" s="2" t="s">
        <v>57</v>
      </c>
      <c r="P129" s="2" t="s">
        <v>546</v>
      </c>
      <c r="Q129" s="2">
        <v>243.99200000000002</v>
      </c>
      <c r="R129" s="2">
        <v>7</v>
      </c>
      <c r="S129" s="2">
        <v>0.2</v>
      </c>
      <c r="T129" s="4">
        <v>30.498999999999981</v>
      </c>
      <c r="U129">
        <f t="shared" si="1"/>
        <v>7</v>
      </c>
    </row>
    <row r="130" spans="1:21" ht="15.5" x14ac:dyDescent="0.35">
      <c r="A130" s="2" t="s">
        <v>547</v>
      </c>
      <c r="B130" s="3">
        <v>42680</v>
      </c>
      <c r="C130" s="3">
        <v>42684</v>
      </c>
      <c r="D130" s="2" t="s">
        <v>21</v>
      </c>
      <c r="E130" s="2" t="s">
        <v>548</v>
      </c>
      <c r="F130" s="2" t="s">
        <v>549</v>
      </c>
      <c r="G130" s="2" t="s">
        <v>100</v>
      </c>
      <c r="H130" s="2" t="s">
        <v>25</v>
      </c>
      <c r="I130" s="2" t="s">
        <v>40</v>
      </c>
      <c r="J130" s="2" t="s">
        <v>41</v>
      </c>
      <c r="K130" s="2">
        <v>90004</v>
      </c>
      <c r="L130" s="2" t="s">
        <v>42</v>
      </c>
      <c r="M130" s="2" t="s">
        <v>302</v>
      </c>
      <c r="N130" s="2" t="s">
        <v>30</v>
      </c>
      <c r="O130" s="2" t="s">
        <v>34</v>
      </c>
      <c r="P130" s="2" t="s">
        <v>550</v>
      </c>
      <c r="Q130" s="2">
        <v>81.424000000000007</v>
      </c>
      <c r="R130" s="2">
        <v>2</v>
      </c>
      <c r="S130" s="2">
        <v>0.2</v>
      </c>
      <c r="T130" s="4">
        <v>-9.1601999999999961</v>
      </c>
      <c r="U130">
        <f t="shared" si="1"/>
        <v>4</v>
      </c>
    </row>
    <row r="131" spans="1:21" ht="15.5" x14ac:dyDescent="0.35">
      <c r="A131" s="2" t="s">
        <v>547</v>
      </c>
      <c r="B131" s="3">
        <v>42680</v>
      </c>
      <c r="C131" s="3">
        <v>42684</v>
      </c>
      <c r="D131" s="2" t="s">
        <v>21</v>
      </c>
      <c r="E131" s="2" t="s">
        <v>548</v>
      </c>
      <c r="F131" s="2" t="s">
        <v>549</v>
      </c>
      <c r="G131" s="2" t="s">
        <v>100</v>
      </c>
      <c r="H131" s="2" t="s">
        <v>25</v>
      </c>
      <c r="I131" s="2" t="s">
        <v>40</v>
      </c>
      <c r="J131" s="2" t="s">
        <v>41</v>
      </c>
      <c r="K131" s="2">
        <v>90004</v>
      </c>
      <c r="L131" s="2" t="s">
        <v>42</v>
      </c>
      <c r="M131" s="2" t="s">
        <v>551</v>
      </c>
      <c r="N131" s="2" t="s">
        <v>30</v>
      </c>
      <c r="O131" s="2" t="s">
        <v>63</v>
      </c>
      <c r="P131" s="2" t="s">
        <v>552</v>
      </c>
      <c r="Q131" s="2">
        <v>238.56</v>
      </c>
      <c r="R131" s="2">
        <v>3</v>
      </c>
      <c r="S131" s="2">
        <v>0</v>
      </c>
      <c r="T131" s="4">
        <v>26.241599999999977</v>
      </c>
      <c r="U131">
        <f t="shared" ref="U131:U150" si="2">C131-B131</f>
        <v>4</v>
      </c>
    </row>
    <row r="132" spans="1:21" ht="15.5" x14ac:dyDescent="0.35">
      <c r="A132" s="2" t="s">
        <v>553</v>
      </c>
      <c r="B132" s="3">
        <v>42768</v>
      </c>
      <c r="C132" s="3">
        <v>42771</v>
      </c>
      <c r="D132" s="2" t="s">
        <v>186</v>
      </c>
      <c r="E132" s="2" t="s">
        <v>554</v>
      </c>
      <c r="F132" s="2" t="s">
        <v>555</v>
      </c>
      <c r="G132" s="2" t="s">
        <v>39</v>
      </c>
      <c r="H132" s="2" t="s">
        <v>25</v>
      </c>
      <c r="I132" s="2" t="s">
        <v>495</v>
      </c>
      <c r="J132" s="2" t="s">
        <v>496</v>
      </c>
      <c r="K132" s="2">
        <v>43229</v>
      </c>
      <c r="L132" s="2" t="s">
        <v>146</v>
      </c>
      <c r="M132" s="2" t="s">
        <v>556</v>
      </c>
      <c r="N132" s="2" t="s">
        <v>69</v>
      </c>
      <c r="O132" s="2" t="s">
        <v>70</v>
      </c>
      <c r="P132" s="2" t="s">
        <v>557</v>
      </c>
      <c r="Q132" s="2">
        <v>59.969999999999992</v>
      </c>
      <c r="R132" s="2">
        <v>5</v>
      </c>
      <c r="S132" s="2">
        <v>0.4</v>
      </c>
      <c r="T132" s="4">
        <v>-11.993999999999993</v>
      </c>
      <c r="U132">
        <f t="shared" si="2"/>
        <v>3</v>
      </c>
    </row>
    <row r="133" spans="1:21" ht="15.5" x14ac:dyDescent="0.35">
      <c r="A133" s="2" t="s">
        <v>553</v>
      </c>
      <c r="B133" s="3">
        <v>42768</v>
      </c>
      <c r="C133" s="3">
        <v>42771</v>
      </c>
      <c r="D133" s="2" t="s">
        <v>186</v>
      </c>
      <c r="E133" s="2" t="s">
        <v>554</v>
      </c>
      <c r="F133" s="2" t="s">
        <v>555</v>
      </c>
      <c r="G133" s="2" t="s">
        <v>39</v>
      </c>
      <c r="H133" s="2" t="s">
        <v>25</v>
      </c>
      <c r="I133" s="2" t="s">
        <v>495</v>
      </c>
      <c r="J133" s="2" t="s">
        <v>496</v>
      </c>
      <c r="K133" s="2">
        <v>43229</v>
      </c>
      <c r="L133" s="2" t="s">
        <v>146</v>
      </c>
      <c r="M133" s="2" t="s">
        <v>558</v>
      </c>
      <c r="N133" s="2" t="s">
        <v>44</v>
      </c>
      <c r="O133" s="2" t="s">
        <v>88</v>
      </c>
      <c r="P133" s="2" t="s">
        <v>559</v>
      </c>
      <c r="Q133" s="2">
        <v>78.304000000000002</v>
      </c>
      <c r="R133" s="2">
        <v>2</v>
      </c>
      <c r="S133" s="2">
        <v>0.2</v>
      </c>
      <c r="T133" s="4">
        <v>29.363999999999997</v>
      </c>
      <c r="U133">
        <f t="shared" si="2"/>
        <v>3</v>
      </c>
    </row>
    <row r="134" spans="1:21" ht="15.5" x14ac:dyDescent="0.35">
      <c r="A134" s="2" t="s">
        <v>553</v>
      </c>
      <c r="B134" s="3">
        <v>42768</v>
      </c>
      <c r="C134" s="3">
        <v>42771</v>
      </c>
      <c r="D134" s="2" t="s">
        <v>186</v>
      </c>
      <c r="E134" s="2" t="s">
        <v>554</v>
      </c>
      <c r="F134" s="2" t="s">
        <v>555</v>
      </c>
      <c r="G134" s="2" t="s">
        <v>39</v>
      </c>
      <c r="H134" s="2" t="s">
        <v>25</v>
      </c>
      <c r="I134" s="2" t="s">
        <v>495</v>
      </c>
      <c r="J134" s="2" t="s">
        <v>496</v>
      </c>
      <c r="K134" s="2">
        <v>43229</v>
      </c>
      <c r="L134" s="2" t="s">
        <v>146</v>
      </c>
      <c r="M134" s="2" t="s">
        <v>560</v>
      </c>
      <c r="N134" s="2" t="s">
        <v>44</v>
      </c>
      <c r="O134" s="2" t="s">
        <v>267</v>
      </c>
      <c r="P134" s="2" t="s">
        <v>561</v>
      </c>
      <c r="Q134" s="2">
        <v>21.456</v>
      </c>
      <c r="R134" s="2">
        <v>9</v>
      </c>
      <c r="S134" s="2">
        <v>0.2</v>
      </c>
      <c r="T134" s="4">
        <v>6.9731999999999976</v>
      </c>
      <c r="U134">
        <f t="shared" si="2"/>
        <v>3</v>
      </c>
    </row>
    <row r="135" spans="1:21" ht="15.5" x14ac:dyDescent="0.35">
      <c r="A135" s="2" t="s">
        <v>562</v>
      </c>
      <c r="B135" s="3">
        <v>42656</v>
      </c>
      <c r="C135" s="3">
        <v>42662</v>
      </c>
      <c r="D135" s="2" t="s">
        <v>48</v>
      </c>
      <c r="E135" s="2" t="s">
        <v>563</v>
      </c>
      <c r="F135" s="2" t="s">
        <v>564</v>
      </c>
      <c r="G135" s="2" t="s">
        <v>24</v>
      </c>
      <c r="H135" s="2" t="s">
        <v>25</v>
      </c>
      <c r="I135" s="2" t="s">
        <v>565</v>
      </c>
      <c r="J135" s="2" t="s">
        <v>41</v>
      </c>
      <c r="K135" s="2">
        <v>95661</v>
      </c>
      <c r="L135" s="2" t="s">
        <v>42</v>
      </c>
      <c r="M135" s="2" t="s">
        <v>566</v>
      </c>
      <c r="N135" s="2" t="s">
        <v>44</v>
      </c>
      <c r="O135" s="2" t="s">
        <v>88</v>
      </c>
      <c r="P135" s="2" t="s">
        <v>567</v>
      </c>
      <c r="Q135" s="2">
        <v>20.04</v>
      </c>
      <c r="R135" s="2">
        <v>3</v>
      </c>
      <c r="S135" s="2">
        <v>0</v>
      </c>
      <c r="T135" s="4">
        <v>9.6191999999999993</v>
      </c>
      <c r="U135">
        <f t="shared" si="2"/>
        <v>6</v>
      </c>
    </row>
    <row r="136" spans="1:21" ht="15.5" x14ac:dyDescent="0.35">
      <c r="A136" s="2" t="s">
        <v>562</v>
      </c>
      <c r="B136" s="3">
        <v>42656</v>
      </c>
      <c r="C136" s="3">
        <v>42662</v>
      </c>
      <c r="D136" s="2" t="s">
        <v>48</v>
      </c>
      <c r="E136" s="2" t="s">
        <v>563</v>
      </c>
      <c r="F136" s="2" t="s">
        <v>564</v>
      </c>
      <c r="G136" s="2" t="s">
        <v>24</v>
      </c>
      <c r="H136" s="2" t="s">
        <v>25</v>
      </c>
      <c r="I136" s="2" t="s">
        <v>565</v>
      </c>
      <c r="J136" s="2" t="s">
        <v>41</v>
      </c>
      <c r="K136" s="2">
        <v>95661</v>
      </c>
      <c r="L136" s="2" t="s">
        <v>42</v>
      </c>
      <c r="M136" s="2" t="s">
        <v>568</v>
      </c>
      <c r="N136" s="2" t="s">
        <v>44</v>
      </c>
      <c r="O136" s="2" t="s">
        <v>88</v>
      </c>
      <c r="P136" s="2" t="s">
        <v>569</v>
      </c>
      <c r="Q136" s="2">
        <v>35.44</v>
      </c>
      <c r="R136" s="2">
        <v>1</v>
      </c>
      <c r="S136" s="2">
        <v>0</v>
      </c>
      <c r="T136" s="4">
        <v>16.656799999999997</v>
      </c>
      <c r="U136">
        <f t="shared" si="2"/>
        <v>6</v>
      </c>
    </row>
    <row r="137" spans="1:21" ht="15.5" x14ac:dyDescent="0.35">
      <c r="A137" s="2" t="s">
        <v>562</v>
      </c>
      <c r="B137" s="3">
        <v>42656</v>
      </c>
      <c r="C137" s="3">
        <v>42662</v>
      </c>
      <c r="D137" s="2" t="s">
        <v>48</v>
      </c>
      <c r="E137" s="2" t="s">
        <v>563</v>
      </c>
      <c r="F137" s="2" t="s">
        <v>564</v>
      </c>
      <c r="G137" s="2" t="s">
        <v>24</v>
      </c>
      <c r="H137" s="2" t="s">
        <v>25</v>
      </c>
      <c r="I137" s="2" t="s">
        <v>565</v>
      </c>
      <c r="J137" s="2" t="s">
        <v>41</v>
      </c>
      <c r="K137" s="2">
        <v>95661</v>
      </c>
      <c r="L137" s="2" t="s">
        <v>42</v>
      </c>
      <c r="M137" s="2" t="s">
        <v>570</v>
      </c>
      <c r="N137" s="2" t="s">
        <v>44</v>
      </c>
      <c r="O137" s="2" t="s">
        <v>66</v>
      </c>
      <c r="P137" s="2" t="s">
        <v>571</v>
      </c>
      <c r="Q137" s="2">
        <v>11.52</v>
      </c>
      <c r="R137" s="2">
        <v>4</v>
      </c>
      <c r="S137" s="2">
        <v>0</v>
      </c>
      <c r="T137" s="4">
        <v>3.4559999999999995</v>
      </c>
      <c r="U137">
        <f t="shared" si="2"/>
        <v>6</v>
      </c>
    </row>
    <row r="138" spans="1:21" ht="15.5" x14ac:dyDescent="0.35">
      <c r="A138" s="2" t="s">
        <v>562</v>
      </c>
      <c r="B138" s="3">
        <v>42656</v>
      </c>
      <c r="C138" s="3">
        <v>42662</v>
      </c>
      <c r="D138" s="2" t="s">
        <v>48</v>
      </c>
      <c r="E138" s="2" t="s">
        <v>563</v>
      </c>
      <c r="F138" s="2" t="s">
        <v>564</v>
      </c>
      <c r="G138" s="2" t="s">
        <v>24</v>
      </c>
      <c r="H138" s="2" t="s">
        <v>25</v>
      </c>
      <c r="I138" s="2" t="s">
        <v>565</v>
      </c>
      <c r="J138" s="2" t="s">
        <v>41</v>
      </c>
      <c r="K138" s="2">
        <v>95661</v>
      </c>
      <c r="L138" s="2" t="s">
        <v>42</v>
      </c>
      <c r="M138" s="2" t="s">
        <v>572</v>
      </c>
      <c r="N138" s="2" t="s">
        <v>44</v>
      </c>
      <c r="O138" s="2" t="s">
        <v>267</v>
      </c>
      <c r="P138" s="2" t="s">
        <v>573</v>
      </c>
      <c r="Q138" s="2">
        <v>4.0199999999999996</v>
      </c>
      <c r="R138" s="2">
        <v>2</v>
      </c>
      <c r="S138" s="2">
        <v>0</v>
      </c>
      <c r="T138" s="4">
        <v>1.9697999999999998</v>
      </c>
      <c r="U138">
        <f t="shared" si="2"/>
        <v>6</v>
      </c>
    </row>
    <row r="139" spans="1:21" ht="15.5" x14ac:dyDescent="0.35">
      <c r="A139" s="2" t="s">
        <v>562</v>
      </c>
      <c r="B139" s="3">
        <v>42656</v>
      </c>
      <c r="C139" s="3">
        <v>42662</v>
      </c>
      <c r="D139" s="2" t="s">
        <v>48</v>
      </c>
      <c r="E139" s="2" t="s">
        <v>563</v>
      </c>
      <c r="F139" s="2" t="s">
        <v>564</v>
      </c>
      <c r="G139" s="2" t="s">
        <v>24</v>
      </c>
      <c r="H139" s="2" t="s">
        <v>25</v>
      </c>
      <c r="I139" s="2" t="s">
        <v>565</v>
      </c>
      <c r="J139" s="2" t="s">
        <v>41</v>
      </c>
      <c r="K139" s="2">
        <v>95661</v>
      </c>
      <c r="L139" s="2" t="s">
        <v>42</v>
      </c>
      <c r="M139" s="2" t="s">
        <v>574</v>
      </c>
      <c r="N139" s="2" t="s">
        <v>44</v>
      </c>
      <c r="O139" s="2" t="s">
        <v>73</v>
      </c>
      <c r="P139" s="2" t="s">
        <v>575</v>
      </c>
      <c r="Q139" s="2">
        <v>76.176000000000002</v>
      </c>
      <c r="R139" s="2">
        <v>3</v>
      </c>
      <c r="S139" s="2">
        <v>0.2</v>
      </c>
      <c r="T139" s="4">
        <v>26.661599999999996</v>
      </c>
      <c r="U139">
        <f t="shared" si="2"/>
        <v>6</v>
      </c>
    </row>
    <row r="140" spans="1:21" ht="15.5" x14ac:dyDescent="0.35">
      <c r="A140" s="2" t="s">
        <v>562</v>
      </c>
      <c r="B140" s="3">
        <v>42656</v>
      </c>
      <c r="C140" s="3">
        <v>42662</v>
      </c>
      <c r="D140" s="2" t="s">
        <v>48</v>
      </c>
      <c r="E140" s="2" t="s">
        <v>563</v>
      </c>
      <c r="F140" s="2" t="s">
        <v>564</v>
      </c>
      <c r="G140" s="2" t="s">
        <v>24</v>
      </c>
      <c r="H140" s="2" t="s">
        <v>25</v>
      </c>
      <c r="I140" s="2" t="s">
        <v>565</v>
      </c>
      <c r="J140" s="2" t="s">
        <v>41</v>
      </c>
      <c r="K140" s="2">
        <v>95661</v>
      </c>
      <c r="L140" s="2" t="s">
        <v>42</v>
      </c>
      <c r="M140" s="2" t="s">
        <v>576</v>
      </c>
      <c r="N140" s="2" t="s">
        <v>44</v>
      </c>
      <c r="O140" s="2" t="s">
        <v>577</v>
      </c>
      <c r="P140" s="2" t="s">
        <v>578</v>
      </c>
      <c r="Q140" s="2">
        <v>65.88</v>
      </c>
      <c r="R140" s="2">
        <v>6</v>
      </c>
      <c r="S140" s="2">
        <v>0</v>
      </c>
      <c r="T140" s="4">
        <v>18.446400000000004</v>
      </c>
      <c r="U140">
        <f t="shared" si="2"/>
        <v>6</v>
      </c>
    </row>
    <row r="141" spans="1:21" ht="15.5" x14ac:dyDescent="0.35">
      <c r="A141" s="2" t="s">
        <v>562</v>
      </c>
      <c r="B141" s="3">
        <v>42656</v>
      </c>
      <c r="C141" s="3">
        <v>42662</v>
      </c>
      <c r="D141" s="2" t="s">
        <v>48</v>
      </c>
      <c r="E141" s="2" t="s">
        <v>563</v>
      </c>
      <c r="F141" s="2" t="s">
        <v>564</v>
      </c>
      <c r="G141" s="2" t="s">
        <v>24</v>
      </c>
      <c r="H141" s="2" t="s">
        <v>25</v>
      </c>
      <c r="I141" s="2" t="s">
        <v>565</v>
      </c>
      <c r="J141" s="2" t="s">
        <v>41</v>
      </c>
      <c r="K141" s="2">
        <v>95661</v>
      </c>
      <c r="L141" s="2" t="s">
        <v>42</v>
      </c>
      <c r="M141" s="2" t="s">
        <v>257</v>
      </c>
      <c r="N141" s="2" t="s">
        <v>30</v>
      </c>
      <c r="O141" s="2" t="s">
        <v>63</v>
      </c>
      <c r="P141" s="2" t="s">
        <v>258</v>
      </c>
      <c r="Q141" s="2">
        <v>43.120000000000005</v>
      </c>
      <c r="R141" s="2">
        <v>14</v>
      </c>
      <c r="S141" s="2">
        <v>0</v>
      </c>
      <c r="T141" s="4">
        <v>20.697599999999998</v>
      </c>
      <c r="U141">
        <f t="shared" si="2"/>
        <v>6</v>
      </c>
    </row>
    <row r="142" spans="1:21" ht="15.5" x14ac:dyDescent="0.35">
      <c r="A142" s="2" t="s">
        <v>579</v>
      </c>
      <c r="B142" s="3">
        <v>42618</v>
      </c>
      <c r="C142" s="3">
        <v>42620</v>
      </c>
      <c r="D142" s="2" t="s">
        <v>21</v>
      </c>
      <c r="E142" s="2" t="s">
        <v>580</v>
      </c>
      <c r="F142" s="2" t="s">
        <v>581</v>
      </c>
      <c r="G142" s="2" t="s">
        <v>39</v>
      </c>
      <c r="H142" s="2" t="s">
        <v>25</v>
      </c>
      <c r="I142" s="2" t="s">
        <v>144</v>
      </c>
      <c r="J142" s="2" t="s">
        <v>145</v>
      </c>
      <c r="K142" s="2">
        <v>19140</v>
      </c>
      <c r="L142" s="2" t="s">
        <v>146</v>
      </c>
      <c r="M142" s="2" t="s">
        <v>168</v>
      </c>
      <c r="N142" s="2" t="s">
        <v>30</v>
      </c>
      <c r="O142" s="2" t="s">
        <v>63</v>
      </c>
      <c r="P142" s="2" t="s">
        <v>169</v>
      </c>
      <c r="Q142" s="2">
        <v>82.800000000000011</v>
      </c>
      <c r="R142" s="2">
        <v>2</v>
      </c>
      <c r="S142" s="2">
        <v>0.2</v>
      </c>
      <c r="T142" s="4">
        <v>10.349999999999994</v>
      </c>
      <c r="U142">
        <f t="shared" si="2"/>
        <v>2</v>
      </c>
    </row>
    <row r="143" spans="1:21" ht="15.5" x14ac:dyDescent="0.35">
      <c r="A143" s="2" t="s">
        <v>582</v>
      </c>
      <c r="B143" s="3">
        <v>42996</v>
      </c>
      <c r="C143" s="3">
        <v>43001</v>
      </c>
      <c r="D143" s="2" t="s">
        <v>48</v>
      </c>
      <c r="E143" s="2" t="s">
        <v>583</v>
      </c>
      <c r="F143" s="2" t="s">
        <v>584</v>
      </c>
      <c r="G143" s="2" t="s">
        <v>39</v>
      </c>
      <c r="H143" s="2" t="s">
        <v>25</v>
      </c>
      <c r="I143" s="2" t="s">
        <v>125</v>
      </c>
      <c r="J143" s="2" t="s">
        <v>41</v>
      </c>
      <c r="K143" s="2">
        <v>94122</v>
      </c>
      <c r="L143" s="2" t="s">
        <v>42</v>
      </c>
      <c r="M143" s="2" t="s">
        <v>585</v>
      </c>
      <c r="N143" s="2" t="s">
        <v>44</v>
      </c>
      <c r="O143" s="2" t="s">
        <v>66</v>
      </c>
      <c r="P143" s="2" t="s">
        <v>586</v>
      </c>
      <c r="Q143" s="2">
        <v>8.82</v>
      </c>
      <c r="R143" s="2">
        <v>3</v>
      </c>
      <c r="S143" s="2">
        <v>0</v>
      </c>
      <c r="T143" s="4">
        <v>2.3814000000000002</v>
      </c>
      <c r="U143">
        <f t="shared" si="2"/>
        <v>5</v>
      </c>
    </row>
    <row r="144" spans="1:21" ht="15.5" x14ac:dyDescent="0.35">
      <c r="A144" s="2" t="s">
        <v>582</v>
      </c>
      <c r="B144" s="3">
        <v>42996</v>
      </c>
      <c r="C144" s="3">
        <v>43001</v>
      </c>
      <c r="D144" s="2" t="s">
        <v>48</v>
      </c>
      <c r="E144" s="2" t="s">
        <v>583</v>
      </c>
      <c r="F144" s="2" t="s">
        <v>584</v>
      </c>
      <c r="G144" s="2" t="s">
        <v>39</v>
      </c>
      <c r="H144" s="2" t="s">
        <v>25</v>
      </c>
      <c r="I144" s="2" t="s">
        <v>125</v>
      </c>
      <c r="J144" s="2" t="s">
        <v>41</v>
      </c>
      <c r="K144" s="2">
        <v>94122</v>
      </c>
      <c r="L144" s="2" t="s">
        <v>42</v>
      </c>
      <c r="M144" s="2" t="s">
        <v>587</v>
      </c>
      <c r="N144" s="2" t="s">
        <v>44</v>
      </c>
      <c r="O144" s="2" t="s">
        <v>171</v>
      </c>
      <c r="P144" s="2" t="s">
        <v>588</v>
      </c>
      <c r="Q144" s="2">
        <v>10.86</v>
      </c>
      <c r="R144" s="2">
        <v>3</v>
      </c>
      <c r="S144" s="2">
        <v>0</v>
      </c>
      <c r="T144" s="4">
        <v>5.1042000000000005</v>
      </c>
      <c r="U144">
        <f t="shared" si="2"/>
        <v>5</v>
      </c>
    </row>
    <row r="145" spans="1:21" ht="15.5" x14ac:dyDescent="0.35">
      <c r="A145" s="2" t="s">
        <v>582</v>
      </c>
      <c r="B145" s="3">
        <v>42996</v>
      </c>
      <c r="C145" s="3">
        <v>43001</v>
      </c>
      <c r="D145" s="2" t="s">
        <v>48</v>
      </c>
      <c r="E145" s="2" t="s">
        <v>583</v>
      </c>
      <c r="F145" s="2" t="s">
        <v>584</v>
      </c>
      <c r="G145" s="2" t="s">
        <v>39</v>
      </c>
      <c r="H145" s="2" t="s">
        <v>25</v>
      </c>
      <c r="I145" s="2" t="s">
        <v>125</v>
      </c>
      <c r="J145" s="2" t="s">
        <v>41</v>
      </c>
      <c r="K145" s="2">
        <v>94122</v>
      </c>
      <c r="L145" s="2" t="s">
        <v>42</v>
      </c>
      <c r="M145" s="2" t="s">
        <v>589</v>
      </c>
      <c r="N145" s="2" t="s">
        <v>44</v>
      </c>
      <c r="O145" s="2" t="s">
        <v>88</v>
      </c>
      <c r="P145" s="2" t="s">
        <v>590</v>
      </c>
      <c r="Q145" s="2">
        <v>143.69999999999999</v>
      </c>
      <c r="R145" s="2">
        <v>3</v>
      </c>
      <c r="S145" s="2">
        <v>0</v>
      </c>
      <c r="T145" s="4">
        <v>68.975999999999999</v>
      </c>
      <c r="U145">
        <f t="shared" si="2"/>
        <v>5</v>
      </c>
    </row>
    <row r="146" spans="1:21" ht="15.5" x14ac:dyDescent="0.35">
      <c r="A146" s="2" t="s">
        <v>591</v>
      </c>
      <c r="B146" s="3">
        <v>43091</v>
      </c>
      <c r="C146" s="3">
        <v>43096</v>
      </c>
      <c r="D146" s="2" t="s">
        <v>48</v>
      </c>
      <c r="E146" s="2" t="s">
        <v>592</v>
      </c>
      <c r="F146" s="2" t="s">
        <v>593</v>
      </c>
      <c r="G146" s="2" t="s">
        <v>24</v>
      </c>
      <c r="H146" s="2" t="s">
        <v>25</v>
      </c>
      <c r="I146" s="2" t="s">
        <v>594</v>
      </c>
      <c r="J146" s="2" t="s">
        <v>595</v>
      </c>
      <c r="K146" s="2">
        <v>64055</v>
      </c>
      <c r="L146" s="2" t="s">
        <v>103</v>
      </c>
      <c r="M146" s="2" t="s">
        <v>596</v>
      </c>
      <c r="N146" s="2" t="s">
        <v>44</v>
      </c>
      <c r="O146" s="2" t="s">
        <v>76</v>
      </c>
      <c r="P146" s="2" t="s">
        <v>597</v>
      </c>
      <c r="Q146" s="2">
        <v>839.43000000000006</v>
      </c>
      <c r="R146" s="2">
        <v>3</v>
      </c>
      <c r="S146" s="2">
        <v>0</v>
      </c>
      <c r="T146" s="4">
        <v>218.25179999999997</v>
      </c>
      <c r="U146">
        <f t="shared" si="2"/>
        <v>5</v>
      </c>
    </row>
    <row r="147" spans="1:21" ht="15.5" x14ac:dyDescent="0.35">
      <c r="A147" s="2" t="s">
        <v>598</v>
      </c>
      <c r="B147" s="3">
        <v>42254</v>
      </c>
      <c r="C147" s="3">
        <v>42259</v>
      </c>
      <c r="D147" s="2" t="s">
        <v>48</v>
      </c>
      <c r="E147" s="2" t="s">
        <v>599</v>
      </c>
      <c r="F147" s="2" t="s">
        <v>600</v>
      </c>
      <c r="G147" s="2" t="s">
        <v>24</v>
      </c>
      <c r="H147" s="2" t="s">
        <v>25</v>
      </c>
      <c r="I147" s="2" t="s">
        <v>601</v>
      </c>
      <c r="J147" s="2" t="s">
        <v>41</v>
      </c>
      <c r="K147" s="2">
        <v>91104</v>
      </c>
      <c r="L147" s="2" t="s">
        <v>42</v>
      </c>
      <c r="M147" s="2" t="s">
        <v>377</v>
      </c>
      <c r="N147" s="2" t="s">
        <v>44</v>
      </c>
      <c r="O147" s="2" t="s">
        <v>57</v>
      </c>
      <c r="P147" s="2" t="s">
        <v>378</v>
      </c>
      <c r="Q147" s="2">
        <v>671.93</v>
      </c>
      <c r="R147" s="2">
        <v>7</v>
      </c>
      <c r="S147" s="2">
        <v>0</v>
      </c>
      <c r="T147" s="4">
        <v>20.157899999999998</v>
      </c>
      <c r="U147">
        <f t="shared" si="2"/>
        <v>5</v>
      </c>
    </row>
    <row r="148" spans="1:21" ht="15.5" x14ac:dyDescent="0.35">
      <c r="A148" s="2" t="s">
        <v>602</v>
      </c>
      <c r="B148" s="3">
        <v>41934</v>
      </c>
      <c r="C148" s="3">
        <v>41940</v>
      </c>
      <c r="D148" s="2" t="s">
        <v>48</v>
      </c>
      <c r="E148" s="2" t="s">
        <v>603</v>
      </c>
      <c r="F148" s="2" t="s">
        <v>604</v>
      </c>
      <c r="G148" s="2" t="s">
        <v>100</v>
      </c>
      <c r="H148" s="2" t="s">
        <v>25</v>
      </c>
      <c r="I148" s="2" t="s">
        <v>605</v>
      </c>
      <c r="J148" s="2" t="s">
        <v>496</v>
      </c>
      <c r="K148" s="2">
        <v>43055</v>
      </c>
      <c r="L148" s="2" t="s">
        <v>146</v>
      </c>
      <c r="M148" s="2" t="s">
        <v>606</v>
      </c>
      <c r="N148" s="2" t="s">
        <v>30</v>
      </c>
      <c r="O148" s="2" t="s">
        <v>63</v>
      </c>
      <c r="P148" s="2" t="s">
        <v>607</v>
      </c>
      <c r="Q148" s="2">
        <v>93.888000000000005</v>
      </c>
      <c r="R148" s="2">
        <v>4</v>
      </c>
      <c r="S148" s="2">
        <v>0.2</v>
      </c>
      <c r="T148" s="4">
        <v>12.90959999999999</v>
      </c>
      <c r="U148">
        <f t="shared" si="2"/>
        <v>6</v>
      </c>
    </row>
    <row r="149" spans="1:21" ht="15.5" x14ac:dyDescent="0.35">
      <c r="A149" s="2" t="s">
        <v>608</v>
      </c>
      <c r="B149" s="3">
        <v>42709</v>
      </c>
      <c r="C149" s="3">
        <v>42713</v>
      </c>
      <c r="D149" s="2" t="s">
        <v>48</v>
      </c>
      <c r="E149" s="2" t="s">
        <v>609</v>
      </c>
      <c r="F149" s="2" t="s">
        <v>610</v>
      </c>
      <c r="G149" s="2" t="s">
        <v>39</v>
      </c>
      <c r="H149" s="2" t="s">
        <v>25</v>
      </c>
      <c r="I149" s="2" t="s">
        <v>611</v>
      </c>
      <c r="J149" s="2" t="s">
        <v>112</v>
      </c>
      <c r="K149" s="2">
        <v>53132</v>
      </c>
      <c r="L149" s="2" t="s">
        <v>103</v>
      </c>
      <c r="M149" s="2" t="s">
        <v>612</v>
      </c>
      <c r="N149" s="2" t="s">
        <v>69</v>
      </c>
      <c r="O149" s="2" t="s">
        <v>70</v>
      </c>
      <c r="P149" s="2" t="s">
        <v>613</v>
      </c>
      <c r="Q149" s="2">
        <v>384.45000000000005</v>
      </c>
      <c r="R149" s="2">
        <v>11</v>
      </c>
      <c r="S149" s="2">
        <v>0</v>
      </c>
      <c r="T149" s="4">
        <v>103.80150000000003</v>
      </c>
      <c r="U149">
        <f t="shared" si="2"/>
        <v>4</v>
      </c>
    </row>
    <row r="150" spans="1:21" ht="15.5" x14ac:dyDescent="0.35">
      <c r="A150" s="2" t="s">
        <v>608</v>
      </c>
      <c r="B150" s="3">
        <v>42709</v>
      </c>
      <c r="C150" s="3">
        <v>42713</v>
      </c>
      <c r="D150" s="2" t="s">
        <v>48</v>
      </c>
      <c r="E150" s="2" t="s">
        <v>609</v>
      </c>
      <c r="F150" s="2" t="s">
        <v>610</v>
      </c>
      <c r="G150" s="2" t="s">
        <v>39</v>
      </c>
      <c r="H150" s="2" t="s">
        <v>25</v>
      </c>
      <c r="I150" s="2" t="s">
        <v>611</v>
      </c>
      <c r="J150" s="2" t="s">
        <v>112</v>
      </c>
      <c r="K150" s="2">
        <v>53132</v>
      </c>
      <c r="L150" s="2" t="s">
        <v>103</v>
      </c>
      <c r="M150" s="2" t="s">
        <v>614</v>
      </c>
      <c r="N150" s="2" t="s">
        <v>69</v>
      </c>
      <c r="O150" s="2" t="s">
        <v>70</v>
      </c>
      <c r="P150" s="2" t="s">
        <v>615</v>
      </c>
      <c r="Q150" s="2">
        <v>149.97</v>
      </c>
      <c r="R150" s="2">
        <v>3</v>
      </c>
      <c r="S150" s="2">
        <v>0</v>
      </c>
      <c r="T150" s="4">
        <v>5.9987999999999815</v>
      </c>
      <c r="U150">
        <f t="shared" si="2"/>
        <v>4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C35F63-5AB0-4E1C-B7E0-1882CDDEC760}">
  <sheetPr codeName="Sheet1"/>
  <dimension ref="A2:H6"/>
  <sheetViews>
    <sheetView workbookViewId="0">
      <selection activeCell="F13" sqref="F13"/>
    </sheetView>
  </sheetViews>
  <sheetFormatPr defaultRowHeight="14.5" x14ac:dyDescent="0.35"/>
  <cols>
    <col min="1" max="3" width="14" customWidth="1"/>
    <col min="4" max="4" width="12.81640625" customWidth="1"/>
    <col min="5" max="8" width="14" customWidth="1"/>
  </cols>
  <sheetData>
    <row r="2" spans="1:8" ht="15.5" x14ac:dyDescent="0.35">
      <c r="A2" s="7" t="s">
        <v>617</v>
      </c>
      <c r="B2" s="7"/>
      <c r="C2" s="7"/>
      <c r="D2" s="7"/>
      <c r="E2" s="7"/>
      <c r="F2" s="7"/>
      <c r="G2" s="7"/>
      <c r="H2" s="7"/>
    </row>
    <row r="3" spans="1:8" ht="15.5" x14ac:dyDescent="0.35">
      <c r="A3" s="7" t="s">
        <v>618</v>
      </c>
      <c r="B3" s="7"/>
      <c r="C3" s="7"/>
      <c r="D3" s="7"/>
      <c r="E3" s="7"/>
      <c r="F3" s="7"/>
      <c r="G3" s="7"/>
      <c r="H3" s="7"/>
    </row>
    <row r="6" spans="1:8" ht="36" customHeight="1" x14ac:dyDescent="0.35">
      <c r="D6" s="8"/>
    </row>
  </sheetData>
  <mergeCells count="2">
    <mergeCell ref="A3:H3"/>
    <mergeCell ref="A2:H2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Macro </vt:lpstr>
      <vt:lpstr>Absolute and Relative Reference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Natolana Palangappa, Thrishala</dc:creator>
  <cp:lastModifiedBy>Natolana Palangappa, Thrishala</cp:lastModifiedBy>
  <dcterms:created xsi:type="dcterms:W3CDTF">2015-06-05T18:17:20Z</dcterms:created>
  <dcterms:modified xsi:type="dcterms:W3CDTF">2023-08-31T11:15:42Z</dcterms:modified>
</cp:coreProperties>
</file>